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1_{B1D259F2-3E3B-41A6-BED0-712B5EE95C32}" xr6:coauthVersionLast="47" xr6:coauthVersionMax="47" xr10:uidLastSave="{00000000-0000-0000-0000-000000000000}"/>
  <bookViews>
    <workbookView xWindow="-110" yWindow="-110" windowWidth="19420" windowHeight="11020" activeTab="2" xr2:uid="{1BCAFEE2-DB41-4EB0-819B-AA430E8DD4DA}"/>
  </bookViews>
  <sheets>
    <sheet name="hospital_patient_dataset" sheetId="1" r:id="rId1"/>
    <sheet name="Sheet1" sheetId="3" r:id="rId2"/>
    <sheet name="Pivot Analysis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2" i="3"/>
</calcChain>
</file>

<file path=xl/sharedStrings.xml><?xml version="1.0" encoding="utf-8"?>
<sst xmlns="http://schemas.openxmlformats.org/spreadsheetml/2006/main" count="10090" uniqueCount="55">
  <si>
    <t>Female</t>
  </si>
  <si>
    <t>Outpatient</t>
  </si>
  <si>
    <t>Malaria</t>
  </si>
  <si>
    <t>None</t>
  </si>
  <si>
    <t>Recovered</t>
  </si>
  <si>
    <t>Male</t>
  </si>
  <si>
    <t>Pediatrics</t>
  </si>
  <si>
    <t>Diabetes</t>
  </si>
  <si>
    <t>Referred</t>
  </si>
  <si>
    <t>Hypertension</t>
  </si>
  <si>
    <t>Discharged</t>
  </si>
  <si>
    <t>Emergency</t>
  </si>
  <si>
    <t>UTI</t>
  </si>
  <si>
    <t>Ciprofloxacin</t>
  </si>
  <si>
    <t>Pneumonia</t>
  </si>
  <si>
    <t>Amoxicillin</t>
  </si>
  <si>
    <t>Admitted</t>
  </si>
  <si>
    <t>Typhoid</t>
  </si>
  <si>
    <t>Azithromycin</t>
  </si>
  <si>
    <t>Internal Medicine</t>
  </si>
  <si>
    <t>Ceftriaxone</t>
  </si>
  <si>
    <t>Patient_ID</t>
  </si>
  <si>
    <t>Age</t>
  </si>
  <si>
    <t>Gender</t>
  </si>
  <si>
    <t>Visit_Date</t>
  </si>
  <si>
    <t>Department</t>
  </si>
  <si>
    <t>Diagnosis</t>
  </si>
  <si>
    <t>Antibiotic_Prescribed</t>
  </si>
  <si>
    <t>Hospital_Stay_Days</t>
  </si>
  <si>
    <t>Treatment_Cost_USD</t>
  </si>
  <si>
    <t>Outcome</t>
  </si>
  <si>
    <t>Month</t>
  </si>
  <si>
    <t>Type</t>
  </si>
  <si>
    <t>Infectious</t>
  </si>
  <si>
    <t>Non-Infectious</t>
  </si>
  <si>
    <t>Data_Validation</t>
  </si>
  <si>
    <t>Row Labels</t>
  </si>
  <si>
    <t>Error: Should be None</t>
  </si>
  <si>
    <t>Grand Total</t>
  </si>
  <si>
    <t>Age_Range</t>
  </si>
  <si>
    <t>Adult</t>
  </si>
  <si>
    <t>Child</t>
  </si>
  <si>
    <t>Senior</t>
  </si>
  <si>
    <t>Teen</t>
  </si>
  <si>
    <t>Young Adult</t>
  </si>
  <si>
    <t>Average of Treatment_Cost_USD</t>
  </si>
  <si>
    <t>Average of Hospital_Stay_Days</t>
  </si>
  <si>
    <t>HOSPITAL STAY ANALYSIS</t>
  </si>
  <si>
    <t>TREATMENT COST ANALYSIS</t>
  </si>
  <si>
    <t>DIAGNOSIS DISTRIBUTION</t>
  </si>
  <si>
    <t>Diagnosis Distribution</t>
  </si>
  <si>
    <t>ERROR RATE</t>
  </si>
  <si>
    <t>Error Rate</t>
  </si>
  <si>
    <t>Rate of ill population</t>
  </si>
  <si>
    <t>PATIENT DISTRIBUTION BY 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</si>
</sst>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;[Red]&quot;$&quot;#,##0.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3" borderId="0" xfId="0" applyFill="1" applyAlignment="1">
      <alignment horizontal="center"/>
    </xf>
    <xf numFmtId="0" fontId="0" fillId="0" borderId="0" xfId="0" applyAlignment="1"/>
    <xf numFmtId="0" fontId="16" fillId="33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;[Red]&quot;$&quot;#,##0.00"/>
    </dxf>
    <dxf>
      <numFmt numFmtId="19" formatCode="mm/dd/yyyy"/>
    </dxf>
    <dxf>
      <numFmt numFmtId="19" formatCode="mm/dd/yyyy"/>
    </dxf>
    <dxf>
      <numFmt numFmtId="0" formatCode="General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Diabetes</c:v>
              </c:pt>
              <c:pt idx="1">
                <c:v>Hypertension</c:v>
              </c:pt>
              <c:pt idx="2">
                <c:v>Malaria</c:v>
              </c:pt>
              <c:pt idx="3">
                <c:v>Pneumonia</c:v>
              </c:pt>
              <c:pt idx="4">
                <c:v>Typhoid</c:v>
              </c:pt>
              <c:pt idx="5">
                <c:v>UTI</c:v>
              </c:pt>
            </c:strLit>
          </c:cat>
          <c:val>
            <c:numLit>
              <c:formatCode>General</c:formatCode>
              <c:ptCount val="6"/>
              <c:pt idx="0">
                <c:v>182</c:v>
              </c:pt>
              <c:pt idx="1">
                <c:v>151</c:v>
              </c:pt>
              <c:pt idx="2">
                <c:v>155</c:v>
              </c:pt>
              <c:pt idx="3">
                <c:v>173</c:v>
              </c:pt>
              <c:pt idx="4">
                <c:v>170</c:v>
              </c:pt>
              <c:pt idx="5">
                <c:v>169</c:v>
              </c:pt>
            </c:numLit>
          </c:val>
          <c:extLst>
            <c:ext xmlns:c16="http://schemas.microsoft.com/office/drawing/2014/chart" uri="{C3380CC4-5D6E-409C-BE32-E72D297353CC}">
              <c16:uniqueId val="{00000000-A18B-42A4-B375-9AD4501FB5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39335984"/>
        <c:axId val="239336944"/>
      </c:barChart>
      <c:catAx>
        <c:axId val="239335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336944"/>
        <c:crosses val="autoZero"/>
        <c:auto val="1"/>
        <c:lblAlgn val="ctr"/>
        <c:lblOffset val="100"/>
        <c:noMultiLvlLbl val="0"/>
      </c:catAx>
      <c:valAx>
        <c:axId val="23933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33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[hospital_patient_dataset.csv.xlsx]Pivot Analysis!PivotTable1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Analysis'!$C$3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545-41BF-9BC1-2726141726C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Analysis'!$B$4:$B$5</c:f>
              <c:strCache>
                <c:ptCount val="1"/>
                <c:pt idx="0">
                  <c:v>Error: Should be None</c:v>
                </c:pt>
              </c:strCache>
            </c:strRef>
          </c:cat>
          <c:val>
            <c:numRef>
              <c:f>'Pivot Analysis'!$C$4:$C$5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6-4CF7-A319-C738B93CB71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Lit>
              <c:ptCount val="5"/>
              <c:pt idx="0">
                <c:v>Adult</c:v>
              </c:pt>
              <c:pt idx="1">
                <c:v>Child</c:v>
              </c:pt>
              <c:pt idx="2">
                <c:v>Senior</c:v>
              </c:pt>
              <c:pt idx="3">
                <c:v>Teen</c:v>
              </c:pt>
              <c:pt idx="4">
                <c:v>Young Adult</c:v>
              </c:pt>
            </c:strLit>
          </c:cat>
          <c:val>
            <c:numLit>
              <c:formatCode>General</c:formatCode>
              <c:ptCount val="5"/>
              <c:pt idx="0">
                <c:v>0.35260115606936415</c:v>
              </c:pt>
              <c:pt idx="1">
                <c:v>0.13872832369942195</c:v>
              </c:pt>
              <c:pt idx="2">
                <c:v>0.26589595375722541</c:v>
              </c:pt>
              <c:pt idx="3">
                <c:v>6.9364161849710976E-2</c:v>
              </c:pt>
              <c:pt idx="4">
                <c:v>0.17341040462427745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2A4-4461-BB26-76917DE6E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737807"/>
        <c:axId val="1772741167"/>
      </c:lineChart>
      <c:catAx>
        <c:axId val="1772737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41167"/>
        <c:crosses val="autoZero"/>
        <c:auto val="1"/>
        <c:lblAlgn val="ctr"/>
        <c:lblOffset val="100"/>
        <c:noMultiLvlLbl val="0"/>
      </c:catAx>
      <c:valAx>
        <c:axId val="17727411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3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25400</xdr:rowOff>
    </xdr:from>
    <xdr:to>
      <xdr:col>3</xdr:col>
      <xdr:colOff>0</xdr:colOff>
      <xdr:row>39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2B2263-6FF4-AEC1-A94A-C81530996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25399</xdr:rowOff>
    </xdr:from>
    <xdr:to>
      <xdr:col>3</xdr:col>
      <xdr:colOff>6350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F0182-48CD-31D5-69C1-335E3292F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27</xdr:row>
      <xdr:rowOff>25400</xdr:rowOff>
    </xdr:from>
    <xdr:to>
      <xdr:col>8</xdr:col>
      <xdr:colOff>12700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92A1BC-55D0-4905-91A4-0F26DD5DB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115.660801967591" createdVersion="8" refreshedVersion="8" minRefreshableVersion="3" recordCount="1000" xr:uid="{B74E4EC2-86C8-49E5-BC88-6B4715373871}">
  <cacheSource type="worksheet">
    <worksheetSource name="Hospital"/>
  </cacheSource>
  <cacheFields count="13">
    <cacheField name="Patient_ID" numFmtId="0">
      <sharedItems containsSemiMixedTypes="0" containsString="0" containsNumber="1" containsInteger="1" minValue="1" maxValue="1000"/>
    </cacheField>
    <cacheField name="Age" numFmtId="0">
      <sharedItems containsSemiMixedTypes="0" containsString="0" containsNumber="1" containsInteger="1" minValue="1" maxValue="85"/>
    </cacheField>
    <cacheField name="Age_Range" numFmtId="0">
      <sharedItems count="5">
        <s v="Child"/>
        <s v="Senior"/>
        <s v="Teen"/>
        <s v="Adult"/>
        <s v="Young Adult"/>
      </sharedItems>
    </cacheField>
    <cacheField name="Gender" numFmtId="0">
      <sharedItems/>
    </cacheField>
    <cacheField name="Visit_Date" numFmtId="14">
      <sharedItems containsSemiMixedTypes="0" containsNonDate="0" containsDate="1" containsString="0" minDate="2023-01-03T00:00:00" maxDate="2025-01-01T00:00:00"/>
    </cacheField>
    <cacheField name="Month" numFmtId="14">
      <sharedItems/>
    </cacheField>
    <cacheField name="Department" numFmtId="0">
      <sharedItems/>
    </cacheField>
    <cacheField name="Diagnosis" numFmtId="0">
      <sharedItems count="6">
        <s v="Malaria"/>
        <s v="Diabetes"/>
        <s v="Hypertension"/>
        <s v="UTI"/>
        <s v="Pneumonia"/>
        <s v="Typhoid"/>
      </sharedItems>
    </cacheField>
    <cacheField name="Antibiotic_Prescribed" numFmtId="0">
      <sharedItems/>
    </cacheField>
    <cacheField name="Data_Validation" numFmtId="0">
      <sharedItems count="1">
        <s v="Error: Should be None"/>
      </sharedItems>
    </cacheField>
    <cacheField name="Hospital_Stay_Days" numFmtId="0">
      <sharedItems containsSemiMixedTypes="0" containsString="0" containsNumber="1" containsInteger="1" minValue="0" maxValue="10"/>
    </cacheField>
    <cacheField name="Treatment_Cost_USD" numFmtId="164">
      <sharedItems containsSemiMixedTypes="0" containsString="0" containsNumber="1" minValue="21.83" maxValue="499.32"/>
    </cacheField>
    <cacheField name="Outco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4"/>
    <x v="0"/>
    <s v="Female"/>
    <d v="2024-10-16T00:00:00"/>
    <s v="October"/>
    <s v="Outpatient"/>
    <x v="0"/>
    <s v="None"/>
    <x v="0"/>
    <n v="3"/>
    <n v="86.98"/>
    <s v="Recovered"/>
  </r>
  <r>
    <n v="2"/>
    <n v="70"/>
    <x v="1"/>
    <s v="Male"/>
    <d v="2024-11-23T00:00:00"/>
    <s v="November"/>
    <s v="Pediatrics"/>
    <x v="1"/>
    <s v="None"/>
    <x v="0"/>
    <n v="0"/>
    <n v="34.299999999999997"/>
    <s v="Referred"/>
  </r>
  <r>
    <n v="3"/>
    <n v="78"/>
    <x v="1"/>
    <s v="Male"/>
    <d v="2023-08-27T00:00:00"/>
    <s v="August"/>
    <s v="Outpatient"/>
    <x v="2"/>
    <s v="None"/>
    <x v="0"/>
    <n v="10"/>
    <n v="356.64"/>
    <s v="Discharged"/>
  </r>
  <r>
    <n v="4"/>
    <n v="76"/>
    <x v="1"/>
    <s v="Female"/>
    <d v="2023-08-14T00:00:00"/>
    <s v="August"/>
    <s v="Emergency"/>
    <x v="3"/>
    <s v="Ciprofloxacin"/>
    <x v="0"/>
    <n v="6"/>
    <n v="183.32"/>
    <s v="Referred"/>
  </r>
  <r>
    <n v="5"/>
    <n v="14"/>
    <x v="2"/>
    <s v="Male"/>
    <d v="2023-08-09T00:00:00"/>
    <s v="August"/>
    <s v="Pediatrics"/>
    <x v="4"/>
    <s v="Amoxicillin"/>
    <x v="0"/>
    <n v="5"/>
    <n v="426.8"/>
    <s v="Admitted"/>
  </r>
  <r>
    <n v="6"/>
    <n v="59"/>
    <x v="3"/>
    <s v="Male"/>
    <d v="2023-02-14T00:00:00"/>
    <s v="February"/>
    <s v="Pediatrics"/>
    <x v="1"/>
    <s v="None"/>
    <x v="0"/>
    <n v="1"/>
    <n v="284.98"/>
    <s v="Admitted"/>
  </r>
  <r>
    <n v="7"/>
    <n v="9"/>
    <x v="0"/>
    <s v="Male"/>
    <d v="2024-08-14T00:00:00"/>
    <s v="August"/>
    <s v="Outpatient"/>
    <x v="5"/>
    <s v="Azithromycin"/>
    <x v="0"/>
    <n v="1"/>
    <n v="430.55"/>
    <s v="Recovered"/>
  </r>
  <r>
    <n v="8"/>
    <n v="59"/>
    <x v="3"/>
    <s v="Female"/>
    <d v="2024-01-25T00:00:00"/>
    <s v="January"/>
    <s v="Outpatient"/>
    <x v="4"/>
    <s v="Azithromycin"/>
    <x v="0"/>
    <n v="5"/>
    <n v="120.56"/>
    <s v="Admitted"/>
  </r>
  <r>
    <n v="9"/>
    <n v="83"/>
    <x v="1"/>
    <s v="Male"/>
    <d v="2024-12-19T00:00:00"/>
    <s v="December"/>
    <s v="Outpatient"/>
    <x v="1"/>
    <s v="None"/>
    <x v="0"/>
    <n v="8"/>
    <n v="369.98"/>
    <s v="Referred"/>
  </r>
  <r>
    <n v="10"/>
    <n v="35"/>
    <x v="4"/>
    <s v="Male"/>
    <d v="2024-04-18T00:00:00"/>
    <s v="April"/>
    <s v="Internal Medicine"/>
    <x v="3"/>
    <s v="Amoxicillin"/>
    <x v="0"/>
    <n v="3"/>
    <n v="414.47"/>
    <s v="Admitted"/>
  </r>
  <r>
    <n v="11"/>
    <n v="9"/>
    <x v="0"/>
    <s v="Male"/>
    <d v="2024-02-15T00:00:00"/>
    <s v="February"/>
    <s v="Internal Medicine"/>
    <x v="4"/>
    <s v="Ciprofloxacin"/>
    <x v="0"/>
    <n v="10"/>
    <n v="259.63"/>
    <s v="Discharged"/>
  </r>
  <r>
    <n v="12"/>
    <n v="18"/>
    <x v="2"/>
    <s v="Male"/>
    <d v="2023-05-27T00:00:00"/>
    <s v="May"/>
    <s v="Internal Medicine"/>
    <x v="4"/>
    <s v="None"/>
    <x v="0"/>
    <n v="6"/>
    <n v="450.95"/>
    <s v="Discharged"/>
  </r>
  <r>
    <n v="13"/>
    <n v="18"/>
    <x v="2"/>
    <s v="Female"/>
    <d v="2024-01-06T00:00:00"/>
    <s v="January"/>
    <s v="Emergency"/>
    <x v="5"/>
    <s v="Amoxicillin"/>
    <x v="0"/>
    <n v="1"/>
    <n v="93.36"/>
    <s v="Referred"/>
  </r>
  <r>
    <n v="14"/>
    <n v="77"/>
    <x v="1"/>
    <s v="Male"/>
    <d v="2024-11-27T00:00:00"/>
    <s v="November"/>
    <s v="Pediatrics"/>
    <x v="3"/>
    <s v="Ceftriaxone"/>
    <x v="0"/>
    <n v="9"/>
    <n v="498.14"/>
    <s v="Admitted"/>
  </r>
  <r>
    <n v="15"/>
    <n v="15"/>
    <x v="2"/>
    <s v="Female"/>
    <d v="2024-07-20T00:00:00"/>
    <s v="July"/>
    <s v="Internal Medicine"/>
    <x v="0"/>
    <s v="None"/>
    <x v="0"/>
    <n v="1"/>
    <n v="160.88"/>
    <s v="Referred"/>
  </r>
  <r>
    <n v="16"/>
    <n v="34"/>
    <x v="4"/>
    <s v="Male"/>
    <d v="2024-04-09T00:00:00"/>
    <s v="April"/>
    <s v="Emergency"/>
    <x v="0"/>
    <s v="None"/>
    <x v="0"/>
    <n v="10"/>
    <n v="163.25"/>
    <s v="Referred"/>
  </r>
  <r>
    <n v="17"/>
    <n v="21"/>
    <x v="4"/>
    <s v="Male"/>
    <d v="2023-06-06T00:00:00"/>
    <s v="June"/>
    <s v="Internal Medicine"/>
    <x v="4"/>
    <s v="Ceftriaxone"/>
    <x v="0"/>
    <n v="0"/>
    <n v="73.7"/>
    <s v="Admitted"/>
  </r>
  <r>
    <n v="18"/>
    <n v="8"/>
    <x v="0"/>
    <s v="Male"/>
    <d v="2023-11-11T00:00:00"/>
    <s v="November"/>
    <s v="Emergency"/>
    <x v="5"/>
    <s v="Amoxicillin"/>
    <x v="0"/>
    <n v="7"/>
    <n v="411.69"/>
    <s v="Referred"/>
  </r>
  <r>
    <n v="19"/>
    <n v="61"/>
    <x v="1"/>
    <s v="Male"/>
    <d v="2023-05-12T00:00:00"/>
    <s v="May"/>
    <s v="Internal Medicine"/>
    <x v="1"/>
    <s v="None"/>
    <x v="0"/>
    <n v="8"/>
    <n v="438.77"/>
    <s v="Discharged"/>
  </r>
  <r>
    <n v="20"/>
    <n v="26"/>
    <x v="4"/>
    <s v="Female"/>
    <d v="2023-08-05T00:00:00"/>
    <s v="August"/>
    <s v="Pediatrics"/>
    <x v="2"/>
    <s v="None"/>
    <x v="0"/>
    <n v="10"/>
    <n v="331.94"/>
    <s v="Discharged"/>
  </r>
  <r>
    <n v="21"/>
    <n v="16"/>
    <x v="2"/>
    <s v="Male"/>
    <d v="2024-06-13T00:00:00"/>
    <s v="June"/>
    <s v="Outpatient"/>
    <x v="3"/>
    <s v="Amoxicillin"/>
    <x v="0"/>
    <n v="5"/>
    <n v="30.1"/>
    <s v="Referred"/>
  </r>
  <r>
    <n v="22"/>
    <n v="1"/>
    <x v="0"/>
    <s v="Male"/>
    <d v="2024-08-25T00:00:00"/>
    <s v="August"/>
    <s v="Emergency"/>
    <x v="5"/>
    <s v="Ciprofloxacin"/>
    <x v="0"/>
    <n v="1"/>
    <n v="454.6"/>
    <s v="Admitted"/>
  </r>
  <r>
    <n v="23"/>
    <n v="31"/>
    <x v="4"/>
    <s v="Female"/>
    <d v="2023-03-14T00:00:00"/>
    <s v="March"/>
    <s v="Pediatrics"/>
    <x v="2"/>
    <s v="None"/>
    <x v="0"/>
    <n v="3"/>
    <n v="278.83"/>
    <s v="Discharged"/>
  </r>
  <r>
    <n v="24"/>
    <n v="53"/>
    <x v="3"/>
    <s v="Male"/>
    <d v="2023-09-06T00:00:00"/>
    <s v="September"/>
    <s v="Emergency"/>
    <x v="3"/>
    <s v="Amoxicillin"/>
    <x v="0"/>
    <n v="10"/>
    <n v="226.9"/>
    <s v="Discharged"/>
  </r>
  <r>
    <n v="25"/>
    <n v="7"/>
    <x v="0"/>
    <s v="Male"/>
    <d v="2024-02-25T00:00:00"/>
    <s v="February"/>
    <s v="Emergency"/>
    <x v="3"/>
    <s v="Ceftriaxone"/>
    <x v="0"/>
    <n v="5"/>
    <n v="404.28"/>
    <s v="Recovered"/>
  </r>
  <r>
    <n v="26"/>
    <n v="25"/>
    <x v="4"/>
    <s v="Female"/>
    <d v="2023-09-12T00:00:00"/>
    <s v="September"/>
    <s v="Outpatient"/>
    <x v="5"/>
    <s v="Ceftriaxone"/>
    <x v="0"/>
    <n v="2"/>
    <n v="153.69999999999999"/>
    <s v="Referred"/>
  </r>
  <r>
    <n v="27"/>
    <n v="71"/>
    <x v="1"/>
    <s v="Male"/>
    <d v="2023-03-19T00:00:00"/>
    <s v="March"/>
    <s v="Emergency"/>
    <x v="3"/>
    <s v="None"/>
    <x v="0"/>
    <n v="0"/>
    <n v="485.12"/>
    <s v="Referred"/>
  </r>
  <r>
    <n v="28"/>
    <n v="63"/>
    <x v="1"/>
    <s v="Female"/>
    <d v="2023-06-20T00:00:00"/>
    <s v="June"/>
    <s v="Outpatient"/>
    <x v="3"/>
    <s v="Ceftriaxone"/>
    <x v="0"/>
    <n v="0"/>
    <n v="99.03"/>
    <s v="Recovered"/>
  </r>
  <r>
    <n v="29"/>
    <n v="59"/>
    <x v="3"/>
    <s v="Female"/>
    <d v="2024-02-04T00:00:00"/>
    <s v="February"/>
    <s v="Pediatrics"/>
    <x v="4"/>
    <s v="None"/>
    <x v="0"/>
    <n v="10"/>
    <n v="364.84"/>
    <s v="Referred"/>
  </r>
  <r>
    <n v="30"/>
    <n v="28"/>
    <x v="4"/>
    <s v="Male"/>
    <d v="2023-07-14T00:00:00"/>
    <s v="July"/>
    <s v="Emergency"/>
    <x v="4"/>
    <s v="Azithromycin"/>
    <x v="0"/>
    <n v="0"/>
    <n v="44.07"/>
    <s v="Discharged"/>
  </r>
  <r>
    <n v="31"/>
    <n v="21"/>
    <x v="4"/>
    <s v="Male"/>
    <d v="2024-05-29T00:00:00"/>
    <s v="May"/>
    <s v="Emergency"/>
    <x v="2"/>
    <s v="None"/>
    <x v="0"/>
    <n v="2"/>
    <n v="52.89"/>
    <s v="Recovered"/>
  </r>
  <r>
    <n v="32"/>
    <n v="52"/>
    <x v="3"/>
    <s v="Male"/>
    <d v="2024-11-22T00:00:00"/>
    <s v="November"/>
    <s v="Outpatient"/>
    <x v="5"/>
    <s v="None"/>
    <x v="0"/>
    <n v="9"/>
    <n v="39.08"/>
    <s v="Recovered"/>
  </r>
  <r>
    <n v="33"/>
    <n v="75"/>
    <x v="1"/>
    <s v="Female"/>
    <d v="2024-03-05T00:00:00"/>
    <s v="March"/>
    <s v="Internal Medicine"/>
    <x v="1"/>
    <s v="None"/>
    <x v="0"/>
    <n v="3"/>
    <n v="341.47"/>
    <s v="Admitted"/>
  </r>
  <r>
    <n v="34"/>
    <n v="51"/>
    <x v="3"/>
    <s v="Male"/>
    <d v="2023-09-02T00:00:00"/>
    <s v="September"/>
    <s v="Internal Medicine"/>
    <x v="4"/>
    <s v="Ceftriaxone"/>
    <x v="0"/>
    <n v="5"/>
    <n v="465.93"/>
    <s v="Recovered"/>
  </r>
  <r>
    <n v="35"/>
    <n v="80"/>
    <x v="1"/>
    <s v="Male"/>
    <d v="2023-01-10T00:00:00"/>
    <s v="January"/>
    <s v="Emergency"/>
    <x v="3"/>
    <s v="None"/>
    <x v="0"/>
    <n v="3"/>
    <n v="262.82"/>
    <s v="Referred"/>
  </r>
  <r>
    <n v="36"/>
    <n v="32"/>
    <x v="4"/>
    <s v="Female"/>
    <d v="2023-12-24T00:00:00"/>
    <s v="December"/>
    <s v="Internal Medicine"/>
    <x v="0"/>
    <s v="None"/>
    <x v="0"/>
    <n v="2"/>
    <n v="230.33"/>
    <s v="Admitted"/>
  </r>
  <r>
    <n v="37"/>
    <n v="68"/>
    <x v="1"/>
    <s v="Male"/>
    <d v="2024-09-18T00:00:00"/>
    <s v="September"/>
    <s v="Internal Medicine"/>
    <x v="1"/>
    <s v="None"/>
    <x v="0"/>
    <n v="10"/>
    <n v="69.72"/>
    <s v="Referred"/>
  </r>
  <r>
    <n v="38"/>
    <n v="14"/>
    <x v="2"/>
    <s v="Male"/>
    <d v="2023-09-28T00:00:00"/>
    <s v="September"/>
    <s v="Internal Medicine"/>
    <x v="0"/>
    <s v="None"/>
    <x v="0"/>
    <n v="4"/>
    <n v="310.32"/>
    <s v="Admitted"/>
  </r>
  <r>
    <n v="39"/>
    <n v="82"/>
    <x v="1"/>
    <s v="Female"/>
    <d v="2023-07-28T00:00:00"/>
    <s v="July"/>
    <s v="Pediatrics"/>
    <x v="1"/>
    <s v="None"/>
    <x v="0"/>
    <n v="4"/>
    <n v="454.56"/>
    <s v="Recovered"/>
  </r>
  <r>
    <n v="40"/>
    <n v="55"/>
    <x v="3"/>
    <s v="Female"/>
    <d v="2023-04-05T00:00:00"/>
    <s v="April"/>
    <s v="Emergency"/>
    <x v="1"/>
    <s v="None"/>
    <x v="0"/>
    <n v="0"/>
    <n v="180.11"/>
    <s v="Referred"/>
  </r>
  <r>
    <n v="41"/>
    <n v="21"/>
    <x v="4"/>
    <s v="Female"/>
    <d v="2024-10-14T00:00:00"/>
    <s v="October"/>
    <s v="Pediatrics"/>
    <x v="4"/>
    <s v="None"/>
    <x v="0"/>
    <n v="0"/>
    <n v="73.7"/>
    <s v="Referred"/>
  </r>
  <r>
    <n v="42"/>
    <n v="48"/>
    <x v="3"/>
    <s v="Male"/>
    <d v="2024-07-12T00:00:00"/>
    <s v="July"/>
    <s v="Pediatrics"/>
    <x v="0"/>
    <s v="None"/>
    <x v="0"/>
    <n v="2"/>
    <n v="40.08"/>
    <s v="Admitted"/>
  </r>
  <r>
    <n v="43"/>
    <n v="27"/>
    <x v="4"/>
    <s v="Male"/>
    <d v="2023-02-10T00:00:00"/>
    <s v="February"/>
    <s v="Emergency"/>
    <x v="4"/>
    <s v="Azithromycin"/>
    <x v="0"/>
    <n v="8"/>
    <n v="444.38"/>
    <s v="Discharged"/>
  </r>
  <r>
    <n v="44"/>
    <n v="20"/>
    <x v="4"/>
    <s v="Male"/>
    <d v="2024-09-27T00:00:00"/>
    <s v="September"/>
    <s v="Outpatient"/>
    <x v="1"/>
    <s v="None"/>
    <x v="0"/>
    <n v="2"/>
    <n v="443.08"/>
    <s v="Recovered"/>
  </r>
  <r>
    <n v="45"/>
    <n v="43"/>
    <x v="3"/>
    <s v="Female"/>
    <d v="2023-07-03T00:00:00"/>
    <s v="July"/>
    <s v="Outpatient"/>
    <x v="1"/>
    <s v="None"/>
    <x v="0"/>
    <n v="4"/>
    <n v="96.41"/>
    <s v="Recovered"/>
  </r>
  <r>
    <n v="46"/>
    <n v="61"/>
    <x v="1"/>
    <s v="Male"/>
    <d v="2024-01-27T00:00:00"/>
    <s v="January"/>
    <s v="Outpatient"/>
    <x v="0"/>
    <s v="None"/>
    <x v="0"/>
    <n v="7"/>
    <n v="187.84"/>
    <s v="Referred"/>
  </r>
  <r>
    <n v="47"/>
    <n v="85"/>
    <x v="1"/>
    <s v="Male"/>
    <d v="2023-08-17T00:00:00"/>
    <s v="August"/>
    <s v="Pediatrics"/>
    <x v="0"/>
    <s v="None"/>
    <x v="0"/>
    <n v="5"/>
    <n v="153.72999999999999"/>
    <s v="Recovered"/>
  </r>
  <r>
    <n v="48"/>
    <n v="83"/>
    <x v="1"/>
    <s v="Female"/>
    <d v="2023-10-13T00:00:00"/>
    <s v="October"/>
    <s v="Internal Medicine"/>
    <x v="4"/>
    <s v="Amoxicillin"/>
    <x v="0"/>
    <n v="1"/>
    <n v="440.98"/>
    <s v="Admitted"/>
  </r>
  <r>
    <n v="49"/>
    <n v="34"/>
    <x v="4"/>
    <s v="Male"/>
    <d v="2023-07-02T00:00:00"/>
    <s v="July"/>
    <s v="Emergency"/>
    <x v="2"/>
    <s v="None"/>
    <x v="0"/>
    <n v="9"/>
    <n v="228.59"/>
    <s v="Admitted"/>
  </r>
  <r>
    <n v="50"/>
    <n v="66"/>
    <x v="1"/>
    <s v="Male"/>
    <d v="2024-03-22T00:00:00"/>
    <s v="March"/>
    <s v="Pediatrics"/>
    <x v="2"/>
    <s v="None"/>
    <x v="0"/>
    <n v="9"/>
    <n v="111.24"/>
    <s v="Recovered"/>
  </r>
  <r>
    <n v="51"/>
    <n v="1"/>
    <x v="0"/>
    <s v="Male"/>
    <d v="2024-12-26T00:00:00"/>
    <s v="December"/>
    <s v="Internal Medicine"/>
    <x v="3"/>
    <s v="Ceftriaxone"/>
    <x v="0"/>
    <n v="1"/>
    <n v="475.46"/>
    <s v="Admitted"/>
  </r>
  <r>
    <n v="52"/>
    <n v="85"/>
    <x v="1"/>
    <s v="Male"/>
    <d v="2024-09-30T00:00:00"/>
    <s v="September"/>
    <s v="Internal Medicine"/>
    <x v="4"/>
    <s v="None"/>
    <x v="0"/>
    <n v="4"/>
    <n v="340.11"/>
    <s v="Admitted"/>
  </r>
  <r>
    <n v="53"/>
    <n v="38"/>
    <x v="3"/>
    <s v="Male"/>
    <d v="2024-02-17T00:00:00"/>
    <s v="February"/>
    <s v="Outpatient"/>
    <x v="1"/>
    <s v="None"/>
    <x v="0"/>
    <n v="6"/>
    <n v="339.17"/>
    <s v="Discharged"/>
  </r>
  <r>
    <n v="54"/>
    <n v="23"/>
    <x v="4"/>
    <s v="Female"/>
    <d v="2024-11-24T00:00:00"/>
    <s v="November"/>
    <s v="Pediatrics"/>
    <x v="1"/>
    <s v="None"/>
    <x v="0"/>
    <n v="8"/>
    <n v="420.19"/>
    <s v="Admitted"/>
  </r>
  <r>
    <n v="55"/>
    <n v="56"/>
    <x v="3"/>
    <s v="Female"/>
    <d v="2023-10-21T00:00:00"/>
    <s v="October"/>
    <s v="Pediatrics"/>
    <x v="5"/>
    <s v="Ceftriaxone"/>
    <x v="0"/>
    <n v="7"/>
    <n v="344.3"/>
    <s v="Discharged"/>
  </r>
  <r>
    <n v="56"/>
    <n v="11"/>
    <x v="0"/>
    <s v="Female"/>
    <d v="2023-06-23T00:00:00"/>
    <s v="June"/>
    <s v="Internal Medicine"/>
    <x v="1"/>
    <s v="None"/>
    <x v="0"/>
    <n v="1"/>
    <n v="412.84"/>
    <s v="Referred"/>
  </r>
  <r>
    <n v="57"/>
    <n v="29"/>
    <x v="4"/>
    <s v="Male"/>
    <d v="2024-11-19T00:00:00"/>
    <s v="November"/>
    <s v="Outpatient"/>
    <x v="4"/>
    <s v="Amoxicillin"/>
    <x v="0"/>
    <n v="0"/>
    <n v="137.52000000000001"/>
    <s v="Discharged"/>
  </r>
  <r>
    <n v="58"/>
    <n v="59"/>
    <x v="3"/>
    <s v="Female"/>
    <d v="2024-09-17T00:00:00"/>
    <s v="September"/>
    <s v="Outpatient"/>
    <x v="0"/>
    <s v="None"/>
    <x v="0"/>
    <n v="6"/>
    <n v="257.3"/>
    <s v="Referred"/>
  </r>
  <r>
    <n v="59"/>
    <n v="1"/>
    <x v="0"/>
    <s v="Male"/>
    <d v="2023-06-01T00:00:00"/>
    <s v="June"/>
    <s v="Pediatrics"/>
    <x v="1"/>
    <s v="None"/>
    <x v="0"/>
    <n v="3"/>
    <n v="104.43"/>
    <s v="Discharged"/>
  </r>
  <r>
    <n v="60"/>
    <n v="32"/>
    <x v="4"/>
    <s v="Male"/>
    <d v="2023-02-21T00:00:00"/>
    <s v="February"/>
    <s v="Pediatrics"/>
    <x v="2"/>
    <s v="None"/>
    <x v="0"/>
    <n v="2"/>
    <n v="404.68"/>
    <s v="Admitted"/>
  </r>
  <r>
    <n v="61"/>
    <n v="65"/>
    <x v="1"/>
    <s v="Female"/>
    <d v="2024-03-29T00:00:00"/>
    <s v="March"/>
    <s v="Pediatrics"/>
    <x v="2"/>
    <s v="None"/>
    <x v="0"/>
    <n v="2"/>
    <n v="376.95"/>
    <s v="Discharged"/>
  </r>
  <r>
    <n v="62"/>
    <n v="32"/>
    <x v="4"/>
    <s v="Female"/>
    <d v="2024-04-05T00:00:00"/>
    <s v="April"/>
    <s v="Pediatrics"/>
    <x v="4"/>
    <s v="Ciprofloxacin"/>
    <x v="0"/>
    <n v="4"/>
    <n v="231.14"/>
    <s v="Admitted"/>
  </r>
  <r>
    <n v="63"/>
    <n v="43"/>
    <x v="3"/>
    <s v="Female"/>
    <d v="2023-08-29T00:00:00"/>
    <s v="August"/>
    <s v="Emergency"/>
    <x v="4"/>
    <s v="Ciprofloxacin"/>
    <x v="0"/>
    <n v="2"/>
    <n v="131.01"/>
    <s v="Referred"/>
  </r>
  <r>
    <n v="64"/>
    <n v="9"/>
    <x v="0"/>
    <s v="Female"/>
    <d v="2024-12-24T00:00:00"/>
    <s v="December"/>
    <s v="Pediatrics"/>
    <x v="5"/>
    <s v="Azithromycin"/>
    <x v="0"/>
    <n v="8"/>
    <n v="243.64"/>
    <s v="Recovered"/>
  </r>
  <r>
    <n v="65"/>
    <n v="50"/>
    <x v="3"/>
    <s v="Male"/>
    <d v="2023-07-31T00:00:00"/>
    <s v="July"/>
    <s v="Pediatrics"/>
    <x v="3"/>
    <s v="Ceftriaxone"/>
    <x v="0"/>
    <n v="0"/>
    <n v="472.52"/>
    <s v="Admitted"/>
  </r>
  <r>
    <n v="66"/>
    <n v="69"/>
    <x v="1"/>
    <s v="Male"/>
    <d v="2024-02-04T00:00:00"/>
    <s v="February"/>
    <s v="Pediatrics"/>
    <x v="3"/>
    <s v="Ciprofloxacin"/>
    <x v="0"/>
    <n v="4"/>
    <n v="229.2"/>
    <s v="Recovered"/>
  </r>
  <r>
    <n v="67"/>
    <n v="52"/>
    <x v="3"/>
    <s v="Male"/>
    <d v="2024-02-03T00:00:00"/>
    <s v="February"/>
    <s v="Pediatrics"/>
    <x v="4"/>
    <s v="Ciprofloxacin"/>
    <x v="0"/>
    <n v="9"/>
    <n v="276.38"/>
    <s v="Discharged"/>
  </r>
  <r>
    <n v="68"/>
    <n v="85"/>
    <x v="1"/>
    <s v="Male"/>
    <d v="2024-08-29T00:00:00"/>
    <s v="August"/>
    <s v="Emergency"/>
    <x v="2"/>
    <s v="None"/>
    <x v="0"/>
    <n v="10"/>
    <n v="225.73"/>
    <s v="Discharged"/>
  </r>
  <r>
    <n v="69"/>
    <n v="34"/>
    <x v="4"/>
    <s v="Female"/>
    <d v="2023-07-06T00:00:00"/>
    <s v="July"/>
    <s v="Internal Medicine"/>
    <x v="0"/>
    <s v="None"/>
    <x v="0"/>
    <n v="3"/>
    <n v="238.26"/>
    <s v="Admitted"/>
  </r>
  <r>
    <n v="70"/>
    <n v="54"/>
    <x v="3"/>
    <s v="Female"/>
    <d v="2024-01-24T00:00:00"/>
    <s v="January"/>
    <s v="Emergency"/>
    <x v="4"/>
    <s v="Ceftriaxone"/>
    <x v="0"/>
    <n v="0"/>
    <n v="379.53"/>
    <s v="Recovered"/>
  </r>
  <r>
    <n v="71"/>
    <n v="84"/>
    <x v="1"/>
    <s v="Male"/>
    <d v="2023-12-25T00:00:00"/>
    <s v="December"/>
    <s v="Emergency"/>
    <x v="5"/>
    <s v="Amoxicillin"/>
    <x v="0"/>
    <n v="3"/>
    <n v="115.69"/>
    <s v="Recovered"/>
  </r>
  <r>
    <n v="72"/>
    <n v="31"/>
    <x v="4"/>
    <s v="Male"/>
    <d v="2024-09-28T00:00:00"/>
    <s v="September"/>
    <s v="Pediatrics"/>
    <x v="5"/>
    <s v="Amoxicillin"/>
    <x v="0"/>
    <n v="9"/>
    <n v="474.92"/>
    <s v="Discharged"/>
  </r>
  <r>
    <n v="73"/>
    <n v="48"/>
    <x v="3"/>
    <s v="Male"/>
    <d v="2024-12-17T00:00:00"/>
    <s v="December"/>
    <s v="Emergency"/>
    <x v="4"/>
    <s v="Ciprofloxacin"/>
    <x v="0"/>
    <n v="4"/>
    <n v="71.89"/>
    <s v="Recovered"/>
  </r>
  <r>
    <n v="74"/>
    <n v="49"/>
    <x v="3"/>
    <s v="Female"/>
    <d v="2023-11-16T00:00:00"/>
    <s v="November"/>
    <s v="Outpatient"/>
    <x v="2"/>
    <s v="None"/>
    <x v="0"/>
    <n v="1"/>
    <n v="304.20999999999998"/>
    <s v="Referred"/>
  </r>
  <r>
    <n v="75"/>
    <n v="39"/>
    <x v="3"/>
    <s v="Male"/>
    <d v="2023-04-15T00:00:00"/>
    <s v="April"/>
    <s v="Emergency"/>
    <x v="1"/>
    <s v="None"/>
    <x v="0"/>
    <n v="5"/>
    <n v="275.72000000000003"/>
    <s v="Admitted"/>
  </r>
  <r>
    <n v="76"/>
    <n v="83"/>
    <x v="1"/>
    <s v="Female"/>
    <d v="2023-03-12T00:00:00"/>
    <s v="March"/>
    <s v="Emergency"/>
    <x v="2"/>
    <s v="None"/>
    <x v="0"/>
    <n v="6"/>
    <n v="414.72"/>
    <s v="Recovered"/>
  </r>
  <r>
    <n v="77"/>
    <n v="82"/>
    <x v="1"/>
    <s v="Female"/>
    <d v="2024-03-19T00:00:00"/>
    <s v="March"/>
    <s v="Outpatient"/>
    <x v="4"/>
    <s v="Ceftriaxone"/>
    <x v="0"/>
    <n v="2"/>
    <n v="372.22"/>
    <s v="Admitted"/>
  </r>
  <r>
    <n v="78"/>
    <n v="62"/>
    <x v="1"/>
    <s v="Female"/>
    <d v="2024-09-22T00:00:00"/>
    <s v="September"/>
    <s v="Pediatrics"/>
    <x v="2"/>
    <s v="None"/>
    <x v="0"/>
    <n v="9"/>
    <n v="148.83000000000001"/>
    <s v="Referred"/>
  </r>
  <r>
    <n v="79"/>
    <n v="58"/>
    <x v="3"/>
    <s v="Male"/>
    <d v="2023-03-30T00:00:00"/>
    <s v="March"/>
    <s v="Pediatrics"/>
    <x v="4"/>
    <s v="None"/>
    <x v="0"/>
    <n v="9"/>
    <n v="340.73"/>
    <s v="Admitted"/>
  </r>
  <r>
    <n v="80"/>
    <n v="42"/>
    <x v="3"/>
    <s v="Male"/>
    <d v="2023-01-30T00:00:00"/>
    <s v="January"/>
    <s v="Pediatrics"/>
    <x v="3"/>
    <s v="Ciprofloxacin"/>
    <x v="0"/>
    <n v="5"/>
    <n v="402.96"/>
    <s v="Admitted"/>
  </r>
  <r>
    <n v="81"/>
    <n v="36"/>
    <x v="3"/>
    <s v="Male"/>
    <d v="2023-10-14T00:00:00"/>
    <s v="October"/>
    <s v="Outpatient"/>
    <x v="2"/>
    <s v="None"/>
    <x v="0"/>
    <n v="1"/>
    <n v="135.85"/>
    <s v="Discharged"/>
  </r>
  <r>
    <n v="82"/>
    <n v="31"/>
    <x v="4"/>
    <s v="Female"/>
    <d v="2024-05-15T00:00:00"/>
    <s v="May"/>
    <s v="Pediatrics"/>
    <x v="2"/>
    <s v="None"/>
    <x v="0"/>
    <n v="7"/>
    <n v="400.61"/>
    <s v="Recovered"/>
  </r>
  <r>
    <n v="83"/>
    <n v="52"/>
    <x v="3"/>
    <s v="Male"/>
    <d v="2023-10-29T00:00:00"/>
    <s v="October"/>
    <s v="Internal Medicine"/>
    <x v="5"/>
    <s v="None"/>
    <x v="0"/>
    <n v="5"/>
    <n v="247.17"/>
    <s v="Admitted"/>
  </r>
  <r>
    <n v="84"/>
    <n v="71"/>
    <x v="1"/>
    <s v="Female"/>
    <d v="2024-03-11T00:00:00"/>
    <s v="March"/>
    <s v="Internal Medicine"/>
    <x v="1"/>
    <s v="None"/>
    <x v="0"/>
    <n v="7"/>
    <n v="150.04"/>
    <s v="Admitted"/>
  </r>
  <r>
    <n v="85"/>
    <n v="25"/>
    <x v="4"/>
    <s v="Female"/>
    <d v="2023-08-25T00:00:00"/>
    <s v="August"/>
    <s v="Emergency"/>
    <x v="0"/>
    <s v="None"/>
    <x v="0"/>
    <n v="8"/>
    <n v="476.42"/>
    <s v="Referred"/>
  </r>
  <r>
    <n v="86"/>
    <n v="62"/>
    <x v="1"/>
    <s v="Female"/>
    <d v="2023-07-16T00:00:00"/>
    <s v="July"/>
    <s v="Internal Medicine"/>
    <x v="5"/>
    <s v="Amoxicillin"/>
    <x v="0"/>
    <n v="3"/>
    <n v="162.19999999999999"/>
    <s v="Admitted"/>
  </r>
  <r>
    <n v="87"/>
    <n v="2"/>
    <x v="0"/>
    <s v="Male"/>
    <d v="2023-07-03T00:00:00"/>
    <s v="July"/>
    <s v="Internal Medicine"/>
    <x v="4"/>
    <s v="Amoxicillin"/>
    <x v="0"/>
    <n v="0"/>
    <n v="285.61"/>
    <s v="Referred"/>
  </r>
  <r>
    <n v="88"/>
    <n v="14"/>
    <x v="2"/>
    <s v="Male"/>
    <d v="2024-10-15T00:00:00"/>
    <s v="October"/>
    <s v="Internal Medicine"/>
    <x v="3"/>
    <s v="Ceftriaxone"/>
    <x v="0"/>
    <n v="7"/>
    <n v="231.43"/>
    <s v="Referred"/>
  </r>
  <r>
    <n v="89"/>
    <n v="62"/>
    <x v="1"/>
    <s v="Male"/>
    <d v="2023-02-22T00:00:00"/>
    <s v="February"/>
    <s v="Emergency"/>
    <x v="4"/>
    <s v="Ceftriaxone"/>
    <x v="0"/>
    <n v="7"/>
    <n v="55.56"/>
    <s v="Recovered"/>
  </r>
  <r>
    <n v="90"/>
    <n v="73"/>
    <x v="1"/>
    <s v="Female"/>
    <d v="2023-06-05T00:00:00"/>
    <s v="June"/>
    <s v="Emergency"/>
    <x v="5"/>
    <s v="Ciprofloxacin"/>
    <x v="0"/>
    <n v="1"/>
    <n v="287.88"/>
    <s v="Discharged"/>
  </r>
  <r>
    <n v="91"/>
    <n v="80"/>
    <x v="1"/>
    <s v="Male"/>
    <d v="2024-09-12T00:00:00"/>
    <s v="September"/>
    <s v="Pediatrics"/>
    <x v="2"/>
    <s v="None"/>
    <x v="0"/>
    <n v="7"/>
    <n v="456.08"/>
    <s v="Admitted"/>
  </r>
  <r>
    <n v="92"/>
    <n v="40"/>
    <x v="3"/>
    <s v="Male"/>
    <d v="2024-08-25T00:00:00"/>
    <s v="August"/>
    <s v="Emergency"/>
    <x v="3"/>
    <s v="Ciprofloxacin"/>
    <x v="0"/>
    <n v="10"/>
    <n v="121.29"/>
    <s v="Recovered"/>
  </r>
  <r>
    <n v="93"/>
    <n v="23"/>
    <x v="4"/>
    <s v="Male"/>
    <d v="2023-06-10T00:00:00"/>
    <s v="June"/>
    <s v="Outpatient"/>
    <x v="5"/>
    <s v="Amoxicillin"/>
    <x v="0"/>
    <n v="6"/>
    <n v="236.24"/>
    <s v="Discharged"/>
  </r>
  <r>
    <n v="94"/>
    <n v="30"/>
    <x v="4"/>
    <s v="Female"/>
    <d v="2023-10-26T00:00:00"/>
    <s v="October"/>
    <s v="Internal Medicine"/>
    <x v="0"/>
    <s v="None"/>
    <x v="0"/>
    <n v="7"/>
    <n v="54.17"/>
    <s v="Referred"/>
  </r>
  <r>
    <n v="95"/>
    <n v="76"/>
    <x v="1"/>
    <s v="Male"/>
    <d v="2023-09-28T00:00:00"/>
    <s v="September"/>
    <s v="Pediatrics"/>
    <x v="1"/>
    <s v="None"/>
    <x v="0"/>
    <n v="1"/>
    <n v="281.39"/>
    <s v="Referred"/>
  </r>
  <r>
    <n v="96"/>
    <n v="10"/>
    <x v="0"/>
    <s v="Male"/>
    <d v="2023-09-30T00:00:00"/>
    <s v="September"/>
    <s v="Outpatient"/>
    <x v="5"/>
    <s v="Azithromycin"/>
    <x v="0"/>
    <n v="9"/>
    <n v="379.5"/>
    <s v="Admitted"/>
  </r>
  <r>
    <n v="97"/>
    <n v="60"/>
    <x v="1"/>
    <s v="Female"/>
    <d v="2024-03-25T00:00:00"/>
    <s v="March"/>
    <s v="Pediatrics"/>
    <x v="0"/>
    <s v="None"/>
    <x v="0"/>
    <n v="4"/>
    <n v="260.23"/>
    <s v="Discharged"/>
  </r>
  <r>
    <n v="98"/>
    <n v="77"/>
    <x v="1"/>
    <s v="Male"/>
    <d v="2024-03-24T00:00:00"/>
    <s v="March"/>
    <s v="Pediatrics"/>
    <x v="0"/>
    <s v="None"/>
    <x v="0"/>
    <n v="5"/>
    <n v="309.77999999999997"/>
    <s v="Recovered"/>
  </r>
  <r>
    <n v="99"/>
    <n v="74"/>
    <x v="1"/>
    <s v="Male"/>
    <d v="2023-04-04T00:00:00"/>
    <s v="April"/>
    <s v="Internal Medicine"/>
    <x v="5"/>
    <s v="None"/>
    <x v="0"/>
    <n v="0"/>
    <n v="386.29"/>
    <s v="Referred"/>
  </r>
  <r>
    <n v="100"/>
    <n v="84"/>
    <x v="1"/>
    <s v="Female"/>
    <d v="2024-04-26T00:00:00"/>
    <s v="April"/>
    <s v="Internal Medicine"/>
    <x v="2"/>
    <s v="None"/>
    <x v="0"/>
    <n v="2"/>
    <n v="498.53"/>
    <s v="Discharged"/>
  </r>
  <r>
    <n v="101"/>
    <n v="12"/>
    <x v="0"/>
    <s v="Female"/>
    <d v="2024-10-12T00:00:00"/>
    <s v="October"/>
    <s v="Internal Medicine"/>
    <x v="3"/>
    <s v="Ceftriaxone"/>
    <x v="0"/>
    <n v="5"/>
    <n v="174.11"/>
    <s v="Recovered"/>
  </r>
  <r>
    <n v="102"/>
    <n v="53"/>
    <x v="3"/>
    <s v="Female"/>
    <d v="2023-06-14T00:00:00"/>
    <s v="June"/>
    <s v="Internal Medicine"/>
    <x v="4"/>
    <s v="Ceftriaxone"/>
    <x v="0"/>
    <n v="8"/>
    <n v="37.61"/>
    <s v="Recovered"/>
  </r>
  <r>
    <n v="103"/>
    <n v="42"/>
    <x v="3"/>
    <s v="Male"/>
    <d v="2023-11-19T00:00:00"/>
    <s v="November"/>
    <s v="Pediatrics"/>
    <x v="4"/>
    <s v="None"/>
    <x v="0"/>
    <n v="0"/>
    <n v="335.68"/>
    <s v="Discharged"/>
  </r>
  <r>
    <n v="104"/>
    <n v="25"/>
    <x v="4"/>
    <s v="Female"/>
    <d v="2024-02-28T00:00:00"/>
    <s v="February"/>
    <s v="Pediatrics"/>
    <x v="0"/>
    <s v="None"/>
    <x v="0"/>
    <n v="10"/>
    <n v="232.18"/>
    <s v="Recovered"/>
  </r>
  <r>
    <n v="105"/>
    <n v="71"/>
    <x v="1"/>
    <s v="Male"/>
    <d v="2023-07-28T00:00:00"/>
    <s v="July"/>
    <s v="Internal Medicine"/>
    <x v="4"/>
    <s v="Ceftriaxone"/>
    <x v="0"/>
    <n v="7"/>
    <n v="78.28"/>
    <s v="Referred"/>
  </r>
  <r>
    <n v="106"/>
    <n v="40"/>
    <x v="3"/>
    <s v="Male"/>
    <d v="2024-12-27T00:00:00"/>
    <s v="December"/>
    <s v="Pediatrics"/>
    <x v="5"/>
    <s v="Amoxicillin"/>
    <x v="0"/>
    <n v="3"/>
    <n v="496.28"/>
    <s v="Recovered"/>
  </r>
  <r>
    <n v="107"/>
    <n v="83"/>
    <x v="1"/>
    <s v="Male"/>
    <d v="2024-04-17T00:00:00"/>
    <s v="April"/>
    <s v="Pediatrics"/>
    <x v="0"/>
    <s v="None"/>
    <x v="0"/>
    <n v="4"/>
    <n v="264.26"/>
    <s v="Admitted"/>
  </r>
  <r>
    <n v="108"/>
    <n v="61"/>
    <x v="1"/>
    <s v="Male"/>
    <d v="2024-03-01T00:00:00"/>
    <s v="March"/>
    <s v="Pediatrics"/>
    <x v="3"/>
    <s v="None"/>
    <x v="0"/>
    <n v="2"/>
    <n v="204.12"/>
    <s v="Referred"/>
  </r>
  <r>
    <n v="109"/>
    <n v="54"/>
    <x v="3"/>
    <s v="Female"/>
    <d v="2023-03-13T00:00:00"/>
    <s v="March"/>
    <s v="Internal Medicine"/>
    <x v="4"/>
    <s v="Amoxicillin"/>
    <x v="0"/>
    <n v="4"/>
    <n v="368.5"/>
    <s v="Discharged"/>
  </r>
  <r>
    <n v="110"/>
    <n v="69"/>
    <x v="1"/>
    <s v="Female"/>
    <d v="2023-06-02T00:00:00"/>
    <s v="June"/>
    <s v="Internal Medicine"/>
    <x v="3"/>
    <s v="Azithromycin"/>
    <x v="0"/>
    <n v="8"/>
    <n v="386.18"/>
    <s v="Discharged"/>
  </r>
  <r>
    <n v="111"/>
    <n v="25"/>
    <x v="4"/>
    <s v="Male"/>
    <d v="2024-04-11T00:00:00"/>
    <s v="April"/>
    <s v="Pediatrics"/>
    <x v="4"/>
    <s v="Ciprofloxacin"/>
    <x v="0"/>
    <n v="6"/>
    <n v="40.950000000000003"/>
    <s v="Discharged"/>
  </r>
  <r>
    <n v="112"/>
    <n v="50"/>
    <x v="3"/>
    <s v="Male"/>
    <d v="2024-12-23T00:00:00"/>
    <s v="December"/>
    <s v="Pediatrics"/>
    <x v="3"/>
    <s v="Amoxicillin"/>
    <x v="0"/>
    <n v="2"/>
    <n v="261.10000000000002"/>
    <s v="Admitted"/>
  </r>
  <r>
    <n v="113"/>
    <n v="13"/>
    <x v="2"/>
    <s v="Female"/>
    <d v="2023-04-13T00:00:00"/>
    <s v="April"/>
    <s v="Emergency"/>
    <x v="3"/>
    <s v="Ciprofloxacin"/>
    <x v="0"/>
    <n v="6"/>
    <n v="438.05"/>
    <s v="Referred"/>
  </r>
  <r>
    <n v="114"/>
    <n v="34"/>
    <x v="4"/>
    <s v="Female"/>
    <d v="2023-03-18T00:00:00"/>
    <s v="March"/>
    <s v="Pediatrics"/>
    <x v="3"/>
    <s v="Amoxicillin"/>
    <x v="0"/>
    <n v="5"/>
    <n v="429.12"/>
    <s v="Discharged"/>
  </r>
  <r>
    <n v="115"/>
    <n v="63"/>
    <x v="1"/>
    <s v="Male"/>
    <d v="2023-11-21T00:00:00"/>
    <s v="November"/>
    <s v="Emergency"/>
    <x v="1"/>
    <s v="None"/>
    <x v="0"/>
    <n v="3"/>
    <n v="322.95999999999998"/>
    <s v="Admitted"/>
  </r>
  <r>
    <n v="116"/>
    <n v="12"/>
    <x v="0"/>
    <s v="Female"/>
    <d v="2023-08-21T00:00:00"/>
    <s v="August"/>
    <s v="Emergency"/>
    <x v="1"/>
    <s v="None"/>
    <x v="0"/>
    <n v="10"/>
    <n v="357.87"/>
    <s v="Recovered"/>
  </r>
  <r>
    <n v="117"/>
    <n v="39"/>
    <x v="3"/>
    <s v="Male"/>
    <d v="2024-03-30T00:00:00"/>
    <s v="March"/>
    <s v="Emergency"/>
    <x v="5"/>
    <s v="Azithromycin"/>
    <x v="0"/>
    <n v="0"/>
    <n v="160.82"/>
    <s v="Admitted"/>
  </r>
  <r>
    <n v="118"/>
    <n v="32"/>
    <x v="4"/>
    <s v="Female"/>
    <d v="2024-03-17T00:00:00"/>
    <s v="March"/>
    <s v="Outpatient"/>
    <x v="5"/>
    <s v="Ciprofloxacin"/>
    <x v="0"/>
    <n v="2"/>
    <n v="57.9"/>
    <s v="Discharged"/>
  </r>
  <r>
    <n v="119"/>
    <n v="31"/>
    <x v="4"/>
    <s v="Female"/>
    <d v="2024-09-26T00:00:00"/>
    <s v="September"/>
    <s v="Outpatient"/>
    <x v="1"/>
    <s v="None"/>
    <x v="0"/>
    <n v="3"/>
    <n v="241.35"/>
    <s v="Admitted"/>
  </r>
  <r>
    <n v="120"/>
    <n v="2"/>
    <x v="0"/>
    <s v="Female"/>
    <d v="2024-04-15T00:00:00"/>
    <s v="April"/>
    <s v="Internal Medicine"/>
    <x v="4"/>
    <s v="None"/>
    <x v="0"/>
    <n v="2"/>
    <n v="55.45"/>
    <s v="Admitted"/>
  </r>
  <r>
    <n v="121"/>
    <n v="82"/>
    <x v="1"/>
    <s v="Female"/>
    <d v="2024-08-24T00:00:00"/>
    <s v="August"/>
    <s v="Internal Medicine"/>
    <x v="4"/>
    <s v="Ceftriaxone"/>
    <x v="0"/>
    <n v="4"/>
    <n v="115.62"/>
    <s v="Discharged"/>
  </r>
  <r>
    <n v="122"/>
    <n v="31"/>
    <x v="4"/>
    <s v="Female"/>
    <d v="2024-05-09T00:00:00"/>
    <s v="May"/>
    <s v="Internal Medicine"/>
    <x v="0"/>
    <s v="None"/>
    <x v="0"/>
    <n v="9"/>
    <n v="162.02000000000001"/>
    <s v="Admitted"/>
  </r>
  <r>
    <n v="123"/>
    <n v="51"/>
    <x v="3"/>
    <s v="Female"/>
    <d v="2023-01-23T00:00:00"/>
    <s v="January"/>
    <s v="Emergency"/>
    <x v="1"/>
    <s v="None"/>
    <x v="0"/>
    <n v="9"/>
    <n v="435.23"/>
    <s v="Recovered"/>
  </r>
  <r>
    <n v="124"/>
    <n v="64"/>
    <x v="1"/>
    <s v="Female"/>
    <d v="2024-09-12T00:00:00"/>
    <s v="September"/>
    <s v="Outpatient"/>
    <x v="1"/>
    <s v="None"/>
    <x v="0"/>
    <n v="9"/>
    <n v="404.93"/>
    <s v="Referred"/>
  </r>
  <r>
    <n v="125"/>
    <n v="80"/>
    <x v="1"/>
    <s v="Female"/>
    <d v="2024-10-13T00:00:00"/>
    <s v="October"/>
    <s v="Outpatient"/>
    <x v="5"/>
    <s v="Amoxicillin"/>
    <x v="0"/>
    <n v="10"/>
    <n v="330.24"/>
    <s v="Admitted"/>
  </r>
  <r>
    <n v="126"/>
    <n v="75"/>
    <x v="1"/>
    <s v="Female"/>
    <d v="2024-03-27T00:00:00"/>
    <s v="March"/>
    <s v="Outpatient"/>
    <x v="0"/>
    <s v="None"/>
    <x v="0"/>
    <n v="1"/>
    <n v="456.62"/>
    <s v="Admitted"/>
  </r>
  <r>
    <n v="127"/>
    <n v="26"/>
    <x v="4"/>
    <s v="Male"/>
    <d v="2024-03-01T00:00:00"/>
    <s v="March"/>
    <s v="Internal Medicine"/>
    <x v="5"/>
    <s v="None"/>
    <x v="0"/>
    <n v="8"/>
    <n v="458.47"/>
    <s v="Referred"/>
  </r>
  <r>
    <n v="128"/>
    <n v="38"/>
    <x v="3"/>
    <s v="Female"/>
    <d v="2023-09-21T00:00:00"/>
    <s v="September"/>
    <s v="Emergency"/>
    <x v="3"/>
    <s v="Ceftriaxone"/>
    <x v="0"/>
    <n v="1"/>
    <n v="87.56"/>
    <s v="Referred"/>
  </r>
  <r>
    <n v="129"/>
    <n v="51"/>
    <x v="3"/>
    <s v="Female"/>
    <d v="2024-11-23T00:00:00"/>
    <s v="November"/>
    <s v="Emergency"/>
    <x v="1"/>
    <s v="None"/>
    <x v="0"/>
    <n v="6"/>
    <n v="26.68"/>
    <s v="Recovered"/>
  </r>
  <r>
    <n v="130"/>
    <n v="34"/>
    <x v="4"/>
    <s v="Female"/>
    <d v="2024-04-10T00:00:00"/>
    <s v="April"/>
    <s v="Internal Medicine"/>
    <x v="4"/>
    <s v="Amoxicillin"/>
    <x v="0"/>
    <n v="10"/>
    <n v="132.22999999999999"/>
    <s v="Recovered"/>
  </r>
  <r>
    <n v="131"/>
    <n v="42"/>
    <x v="3"/>
    <s v="Male"/>
    <d v="2024-09-26T00:00:00"/>
    <s v="September"/>
    <s v="Emergency"/>
    <x v="2"/>
    <s v="None"/>
    <x v="0"/>
    <n v="10"/>
    <n v="415.45"/>
    <s v="Admitted"/>
  </r>
  <r>
    <n v="132"/>
    <n v="15"/>
    <x v="2"/>
    <s v="Male"/>
    <d v="2024-10-26T00:00:00"/>
    <s v="October"/>
    <s v="Emergency"/>
    <x v="3"/>
    <s v="Amoxicillin"/>
    <x v="0"/>
    <n v="4"/>
    <n v="498.05"/>
    <s v="Recovered"/>
  </r>
  <r>
    <n v="133"/>
    <n v="69"/>
    <x v="1"/>
    <s v="Male"/>
    <d v="2023-04-10T00:00:00"/>
    <s v="April"/>
    <s v="Pediatrics"/>
    <x v="5"/>
    <s v="Ceftriaxone"/>
    <x v="0"/>
    <n v="5"/>
    <n v="341.83"/>
    <s v="Discharged"/>
  </r>
  <r>
    <n v="134"/>
    <n v="20"/>
    <x v="4"/>
    <s v="Female"/>
    <d v="2024-08-24T00:00:00"/>
    <s v="August"/>
    <s v="Emergency"/>
    <x v="1"/>
    <s v="None"/>
    <x v="0"/>
    <n v="7"/>
    <n v="315.51"/>
    <s v="Admitted"/>
  </r>
  <r>
    <n v="135"/>
    <n v="48"/>
    <x v="3"/>
    <s v="Male"/>
    <d v="2023-02-03T00:00:00"/>
    <s v="February"/>
    <s v="Pediatrics"/>
    <x v="1"/>
    <s v="None"/>
    <x v="0"/>
    <n v="7"/>
    <n v="476.27"/>
    <s v="Admitted"/>
  </r>
  <r>
    <n v="136"/>
    <n v="48"/>
    <x v="3"/>
    <s v="Female"/>
    <d v="2023-04-12T00:00:00"/>
    <s v="April"/>
    <s v="Emergency"/>
    <x v="1"/>
    <s v="None"/>
    <x v="0"/>
    <n v="6"/>
    <n v="152.41999999999999"/>
    <s v="Recovered"/>
  </r>
  <r>
    <n v="137"/>
    <n v="85"/>
    <x v="1"/>
    <s v="Male"/>
    <d v="2024-04-10T00:00:00"/>
    <s v="April"/>
    <s v="Emergency"/>
    <x v="0"/>
    <s v="None"/>
    <x v="0"/>
    <n v="0"/>
    <n v="397.66"/>
    <s v="Referred"/>
  </r>
  <r>
    <n v="138"/>
    <n v="27"/>
    <x v="4"/>
    <s v="Male"/>
    <d v="2023-05-09T00:00:00"/>
    <s v="May"/>
    <s v="Outpatient"/>
    <x v="2"/>
    <s v="None"/>
    <x v="0"/>
    <n v="9"/>
    <n v="123.66"/>
    <s v="Referred"/>
  </r>
  <r>
    <n v="139"/>
    <n v="77"/>
    <x v="1"/>
    <s v="Male"/>
    <d v="2023-12-03T00:00:00"/>
    <s v="December"/>
    <s v="Internal Medicine"/>
    <x v="5"/>
    <s v="Ciprofloxacin"/>
    <x v="0"/>
    <n v="2"/>
    <n v="279.3"/>
    <s v="Referred"/>
  </r>
  <r>
    <n v="140"/>
    <n v="4"/>
    <x v="0"/>
    <s v="Male"/>
    <d v="2023-04-23T00:00:00"/>
    <s v="April"/>
    <s v="Emergency"/>
    <x v="1"/>
    <s v="None"/>
    <x v="0"/>
    <n v="5"/>
    <n v="399.19"/>
    <s v="Referred"/>
  </r>
  <r>
    <n v="141"/>
    <n v="3"/>
    <x v="0"/>
    <s v="Male"/>
    <d v="2024-08-25T00:00:00"/>
    <s v="August"/>
    <s v="Internal Medicine"/>
    <x v="4"/>
    <s v="Amoxicillin"/>
    <x v="0"/>
    <n v="2"/>
    <n v="376.02"/>
    <s v="Recovered"/>
  </r>
  <r>
    <n v="142"/>
    <n v="58"/>
    <x v="3"/>
    <s v="Female"/>
    <d v="2023-03-07T00:00:00"/>
    <s v="March"/>
    <s v="Emergency"/>
    <x v="3"/>
    <s v="Ceftriaxone"/>
    <x v="0"/>
    <n v="8"/>
    <n v="126.34"/>
    <s v="Recovered"/>
  </r>
  <r>
    <n v="143"/>
    <n v="39"/>
    <x v="3"/>
    <s v="Female"/>
    <d v="2024-11-05T00:00:00"/>
    <s v="November"/>
    <s v="Emergency"/>
    <x v="2"/>
    <s v="None"/>
    <x v="0"/>
    <n v="0"/>
    <n v="499.32"/>
    <s v="Discharged"/>
  </r>
  <r>
    <n v="144"/>
    <n v="14"/>
    <x v="2"/>
    <s v="Female"/>
    <d v="2024-03-12T00:00:00"/>
    <s v="March"/>
    <s v="Pediatrics"/>
    <x v="1"/>
    <s v="None"/>
    <x v="0"/>
    <n v="1"/>
    <n v="451.65"/>
    <s v="Admitted"/>
  </r>
  <r>
    <n v="145"/>
    <n v="9"/>
    <x v="0"/>
    <s v="Male"/>
    <d v="2024-09-14T00:00:00"/>
    <s v="September"/>
    <s v="Internal Medicine"/>
    <x v="5"/>
    <s v="None"/>
    <x v="0"/>
    <n v="10"/>
    <n v="300.98"/>
    <s v="Admitted"/>
  </r>
  <r>
    <n v="146"/>
    <n v="68"/>
    <x v="1"/>
    <s v="Female"/>
    <d v="2024-01-26T00:00:00"/>
    <s v="January"/>
    <s v="Pediatrics"/>
    <x v="2"/>
    <s v="None"/>
    <x v="0"/>
    <n v="8"/>
    <n v="310.60000000000002"/>
    <s v="Recovered"/>
  </r>
  <r>
    <n v="147"/>
    <n v="84"/>
    <x v="1"/>
    <s v="Male"/>
    <d v="2024-12-19T00:00:00"/>
    <s v="December"/>
    <s v="Pediatrics"/>
    <x v="0"/>
    <s v="None"/>
    <x v="0"/>
    <n v="7"/>
    <n v="446.28"/>
    <s v="Discharged"/>
  </r>
  <r>
    <n v="148"/>
    <n v="52"/>
    <x v="3"/>
    <s v="Female"/>
    <d v="2023-12-14T00:00:00"/>
    <s v="December"/>
    <s v="Emergency"/>
    <x v="3"/>
    <s v="Azithromycin"/>
    <x v="0"/>
    <n v="6"/>
    <n v="170.01"/>
    <s v="Admitted"/>
  </r>
  <r>
    <n v="149"/>
    <n v="61"/>
    <x v="1"/>
    <s v="Male"/>
    <d v="2024-01-19T00:00:00"/>
    <s v="January"/>
    <s v="Emergency"/>
    <x v="5"/>
    <s v="Amoxicillin"/>
    <x v="0"/>
    <n v="1"/>
    <n v="227.3"/>
    <s v="Admitted"/>
  </r>
  <r>
    <n v="150"/>
    <n v="8"/>
    <x v="0"/>
    <s v="Female"/>
    <d v="2023-05-14T00:00:00"/>
    <s v="May"/>
    <s v="Emergency"/>
    <x v="2"/>
    <s v="None"/>
    <x v="0"/>
    <n v="6"/>
    <n v="189.73"/>
    <s v="Discharged"/>
  </r>
  <r>
    <n v="151"/>
    <n v="77"/>
    <x v="1"/>
    <s v="Female"/>
    <d v="2023-02-22T00:00:00"/>
    <s v="February"/>
    <s v="Internal Medicine"/>
    <x v="4"/>
    <s v="Amoxicillin"/>
    <x v="0"/>
    <n v="9"/>
    <n v="263.56"/>
    <s v="Referred"/>
  </r>
  <r>
    <n v="152"/>
    <n v="29"/>
    <x v="4"/>
    <s v="Male"/>
    <d v="2024-11-03T00:00:00"/>
    <s v="November"/>
    <s v="Internal Medicine"/>
    <x v="3"/>
    <s v="None"/>
    <x v="0"/>
    <n v="5"/>
    <n v="75.14"/>
    <s v="Admitted"/>
  </r>
  <r>
    <n v="153"/>
    <n v="55"/>
    <x v="3"/>
    <s v="Male"/>
    <d v="2024-08-10T00:00:00"/>
    <s v="August"/>
    <s v="Internal Medicine"/>
    <x v="5"/>
    <s v="Amoxicillin"/>
    <x v="0"/>
    <n v="2"/>
    <n v="151.16999999999999"/>
    <s v="Admitted"/>
  </r>
  <r>
    <n v="154"/>
    <n v="1"/>
    <x v="0"/>
    <s v="Male"/>
    <d v="2023-12-14T00:00:00"/>
    <s v="December"/>
    <s v="Outpatient"/>
    <x v="4"/>
    <s v="None"/>
    <x v="0"/>
    <n v="10"/>
    <n v="212.38"/>
    <s v="Referred"/>
  </r>
  <r>
    <n v="155"/>
    <n v="12"/>
    <x v="0"/>
    <s v="Male"/>
    <d v="2024-10-10T00:00:00"/>
    <s v="October"/>
    <s v="Pediatrics"/>
    <x v="0"/>
    <s v="None"/>
    <x v="0"/>
    <n v="6"/>
    <n v="237.75"/>
    <s v="Referred"/>
  </r>
  <r>
    <n v="156"/>
    <n v="42"/>
    <x v="3"/>
    <s v="Male"/>
    <d v="2024-01-14T00:00:00"/>
    <s v="January"/>
    <s v="Emergency"/>
    <x v="4"/>
    <s v="Ciprofloxacin"/>
    <x v="0"/>
    <n v="2"/>
    <n v="382.13"/>
    <s v="Recovered"/>
  </r>
  <r>
    <n v="157"/>
    <n v="35"/>
    <x v="4"/>
    <s v="Female"/>
    <d v="2024-11-21T00:00:00"/>
    <s v="November"/>
    <s v="Pediatrics"/>
    <x v="0"/>
    <s v="None"/>
    <x v="0"/>
    <n v="7"/>
    <n v="311.39999999999998"/>
    <s v="Discharged"/>
  </r>
  <r>
    <n v="158"/>
    <n v="66"/>
    <x v="1"/>
    <s v="Male"/>
    <d v="2023-10-07T00:00:00"/>
    <s v="October"/>
    <s v="Internal Medicine"/>
    <x v="5"/>
    <s v="Ceftriaxone"/>
    <x v="0"/>
    <n v="1"/>
    <n v="155.96"/>
    <s v="Discharged"/>
  </r>
  <r>
    <n v="159"/>
    <n v="40"/>
    <x v="3"/>
    <s v="Male"/>
    <d v="2024-06-23T00:00:00"/>
    <s v="June"/>
    <s v="Outpatient"/>
    <x v="1"/>
    <s v="None"/>
    <x v="0"/>
    <n v="6"/>
    <n v="492.53"/>
    <s v="Recovered"/>
  </r>
  <r>
    <n v="160"/>
    <n v="39"/>
    <x v="3"/>
    <s v="Male"/>
    <d v="2023-01-08T00:00:00"/>
    <s v="January"/>
    <s v="Outpatient"/>
    <x v="5"/>
    <s v="Azithromycin"/>
    <x v="0"/>
    <n v="4"/>
    <n v="177.5"/>
    <s v="Recovered"/>
  </r>
  <r>
    <n v="161"/>
    <n v="56"/>
    <x v="3"/>
    <s v="Male"/>
    <d v="2024-05-24T00:00:00"/>
    <s v="May"/>
    <s v="Outpatient"/>
    <x v="1"/>
    <s v="None"/>
    <x v="0"/>
    <n v="6"/>
    <n v="275.64"/>
    <s v="Referred"/>
  </r>
  <r>
    <n v="162"/>
    <n v="46"/>
    <x v="3"/>
    <s v="Male"/>
    <d v="2024-05-27T00:00:00"/>
    <s v="May"/>
    <s v="Pediatrics"/>
    <x v="2"/>
    <s v="None"/>
    <x v="0"/>
    <n v="0"/>
    <n v="229.39"/>
    <s v="Discharged"/>
  </r>
  <r>
    <n v="163"/>
    <n v="74"/>
    <x v="1"/>
    <s v="Female"/>
    <d v="2023-03-21T00:00:00"/>
    <s v="March"/>
    <s v="Pediatrics"/>
    <x v="4"/>
    <s v="Ceftriaxone"/>
    <x v="0"/>
    <n v="4"/>
    <n v="75.28"/>
    <s v="Recovered"/>
  </r>
  <r>
    <n v="164"/>
    <n v="80"/>
    <x v="1"/>
    <s v="Female"/>
    <d v="2023-11-29T00:00:00"/>
    <s v="November"/>
    <s v="Internal Medicine"/>
    <x v="5"/>
    <s v="Amoxicillin"/>
    <x v="0"/>
    <n v="6"/>
    <n v="425.35"/>
    <s v="Referred"/>
  </r>
  <r>
    <n v="165"/>
    <n v="52"/>
    <x v="3"/>
    <s v="Male"/>
    <d v="2024-03-22T00:00:00"/>
    <s v="March"/>
    <s v="Pediatrics"/>
    <x v="2"/>
    <s v="None"/>
    <x v="0"/>
    <n v="4"/>
    <n v="377.99"/>
    <s v="Referred"/>
  </r>
  <r>
    <n v="166"/>
    <n v="10"/>
    <x v="0"/>
    <s v="Male"/>
    <d v="2023-12-08T00:00:00"/>
    <s v="December"/>
    <s v="Outpatient"/>
    <x v="5"/>
    <s v="Azithromycin"/>
    <x v="0"/>
    <n v="5"/>
    <n v="369.14"/>
    <s v="Referred"/>
  </r>
  <r>
    <n v="167"/>
    <n v="19"/>
    <x v="2"/>
    <s v="Female"/>
    <d v="2023-08-30T00:00:00"/>
    <s v="August"/>
    <s v="Outpatient"/>
    <x v="0"/>
    <s v="None"/>
    <x v="0"/>
    <n v="2"/>
    <n v="309.14999999999998"/>
    <s v="Recovered"/>
  </r>
  <r>
    <n v="168"/>
    <n v="64"/>
    <x v="1"/>
    <s v="Female"/>
    <d v="2023-07-01T00:00:00"/>
    <s v="July"/>
    <s v="Pediatrics"/>
    <x v="1"/>
    <s v="None"/>
    <x v="0"/>
    <n v="10"/>
    <n v="463.59"/>
    <s v="Admitted"/>
  </r>
  <r>
    <n v="169"/>
    <n v="20"/>
    <x v="4"/>
    <s v="Female"/>
    <d v="2024-10-04T00:00:00"/>
    <s v="October"/>
    <s v="Emergency"/>
    <x v="4"/>
    <s v="Ceftriaxone"/>
    <x v="0"/>
    <n v="7"/>
    <n v="323.06"/>
    <s v="Admitted"/>
  </r>
  <r>
    <n v="170"/>
    <n v="46"/>
    <x v="3"/>
    <s v="Male"/>
    <d v="2024-08-28T00:00:00"/>
    <s v="August"/>
    <s v="Internal Medicine"/>
    <x v="0"/>
    <s v="None"/>
    <x v="0"/>
    <n v="7"/>
    <n v="236.92"/>
    <s v="Recovered"/>
  </r>
  <r>
    <n v="171"/>
    <n v="10"/>
    <x v="0"/>
    <s v="Male"/>
    <d v="2024-01-13T00:00:00"/>
    <s v="January"/>
    <s v="Pediatrics"/>
    <x v="4"/>
    <s v="Ceftriaxone"/>
    <x v="0"/>
    <n v="9"/>
    <n v="286.07"/>
    <s v="Recovered"/>
  </r>
  <r>
    <n v="172"/>
    <n v="84"/>
    <x v="1"/>
    <s v="Male"/>
    <d v="2024-04-05T00:00:00"/>
    <s v="April"/>
    <s v="Internal Medicine"/>
    <x v="2"/>
    <s v="None"/>
    <x v="0"/>
    <n v="9"/>
    <n v="248.3"/>
    <s v="Referred"/>
  </r>
  <r>
    <n v="173"/>
    <n v="14"/>
    <x v="2"/>
    <s v="Female"/>
    <d v="2023-03-05T00:00:00"/>
    <s v="March"/>
    <s v="Emergency"/>
    <x v="3"/>
    <s v="None"/>
    <x v="0"/>
    <n v="10"/>
    <n v="102.83"/>
    <s v="Referred"/>
  </r>
  <r>
    <n v="174"/>
    <n v="57"/>
    <x v="3"/>
    <s v="Male"/>
    <d v="2024-12-25T00:00:00"/>
    <s v="December"/>
    <s v="Internal Medicine"/>
    <x v="3"/>
    <s v="Azithromycin"/>
    <x v="0"/>
    <n v="4"/>
    <n v="205.96"/>
    <s v="Admitted"/>
  </r>
  <r>
    <n v="175"/>
    <n v="7"/>
    <x v="0"/>
    <s v="Female"/>
    <d v="2024-11-26T00:00:00"/>
    <s v="November"/>
    <s v="Emergency"/>
    <x v="2"/>
    <s v="None"/>
    <x v="0"/>
    <n v="5"/>
    <n v="65.36"/>
    <s v="Discharged"/>
  </r>
  <r>
    <n v="176"/>
    <n v="85"/>
    <x v="1"/>
    <s v="Male"/>
    <d v="2023-10-18T00:00:00"/>
    <s v="October"/>
    <s v="Internal Medicine"/>
    <x v="4"/>
    <s v="Amoxicillin"/>
    <x v="0"/>
    <n v="9"/>
    <n v="338.53"/>
    <s v="Admitted"/>
  </r>
  <r>
    <n v="177"/>
    <n v="85"/>
    <x v="1"/>
    <s v="Female"/>
    <d v="2023-11-14T00:00:00"/>
    <s v="November"/>
    <s v="Outpatient"/>
    <x v="1"/>
    <s v="None"/>
    <x v="0"/>
    <n v="9"/>
    <n v="360.24"/>
    <s v="Recovered"/>
  </r>
  <r>
    <n v="178"/>
    <n v="49"/>
    <x v="3"/>
    <s v="Female"/>
    <d v="2023-11-14T00:00:00"/>
    <s v="November"/>
    <s v="Outpatient"/>
    <x v="2"/>
    <s v="None"/>
    <x v="0"/>
    <n v="10"/>
    <n v="357.36"/>
    <s v="Recovered"/>
  </r>
  <r>
    <n v="179"/>
    <n v="55"/>
    <x v="3"/>
    <s v="Female"/>
    <d v="2024-10-23T00:00:00"/>
    <s v="October"/>
    <s v="Emergency"/>
    <x v="1"/>
    <s v="None"/>
    <x v="0"/>
    <n v="5"/>
    <n v="168.26"/>
    <s v="Referred"/>
  </r>
  <r>
    <n v="180"/>
    <n v="25"/>
    <x v="4"/>
    <s v="Male"/>
    <d v="2023-12-16T00:00:00"/>
    <s v="December"/>
    <s v="Outpatient"/>
    <x v="3"/>
    <s v="Ciprofloxacin"/>
    <x v="0"/>
    <n v="1"/>
    <n v="161.97999999999999"/>
    <s v="Recovered"/>
  </r>
  <r>
    <n v="181"/>
    <n v="68"/>
    <x v="1"/>
    <s v="Male"/>
    <d v="2024-06-03T00:00:00"/>
    <s v="June"/>
    <s v="Internal Medicine"/>
    <x v="2"/>
    <s v="None"/>
    <x v="0"/>
    <n v="9"/>
    <n v="82.9"/>
    <s v="Discharged"/>
  </r>
  <r>
    <n v="182"/>
    <n v="24"/>
    <x v="4"/>
    <s v="Male"/>
    <d v="2023-06-07T00:00:00"/>
    <s v="June"/>
    <s v="Pediatrics"/>
    <x v="5"/>
    <s v="Amoxicillin"/>
    <x v="0"/>
    <n v="6"/>
    <n v="194.86"/>
    <s v="Referred"/>
  </r>
  <r>
    <n v="183"/>
    <n v="37"/>
    <x v="3"/>
    <s v="Female"/>
    <d v="2024-03-30T00:00:00"/>
    <s v="March"/>
    <s v="Outpatient"/>
    <x v="2"/>
    <s v="None"/>
    <x v="0"/>
    <n v="8"/>
    <n v="134.80000000000001"/>
    <s v="Discharged"/>
  </r>
  <r>
    <n v="184"/>
    <n v="74"/>
    <x v="1"/>
    <s v="Female"/>
    <d v="2023-07-18T00:00:00"/>
    <s v="July"/>
    <s v="Pediatrics"/>
    <x v="4"/>
    <s v="Azithromycin"/>
    <x v="0"/>
    <n v="6"/>
    <n v="261.39999999999998"/>
    <s v="Discharged"/>
  </r>
  <r>
    <n v="185"/>
    <n v="78"/>
    <x v="1"/>
    <s v="Male"/>
    <d v="2023-06-15T00:00:00"/>
    <s v="June"/>
    <s v="Internal Medicine"/>
    <x v="5"/>
    <s v="Amoxicillin"/>
    <x v="0"/>
    <n v="10"/>
    <n v="250.68"/>
    <s v="Admitted"/>
  </r>
  <r>
    <n v="186"/>
    <n v="67"/>
    <x v="1"/>
    <s v="Male"/>
    <d v="2024-07-21T00:00:00"/>
    <s v="July"/>
    <s v="Internal Medicine"/>
    <x v="0"/>
    <s v="None"/>
    <x v="0"/>
    <n v="1"/>
    <n v="386.3"/>
    <s v="Admitted"/>
  </r>
  <r>
    <n v="187"/>
    <n v="19"/>
    <x v="2"/>
    <s v="Female"/>
    <d v="2024-04-05T00:00:00"/>
    <s v="April"/>
    <s v="Emergency"/>
    <x v="2"/>
    <s v="None"/>
    <x v="0"/>
    <n v="3"/>
    <n v="412.02"/>
    <s v="Admitted"/>
  </r>
  <r>
    <n v="188"/>
    <n v="7"/>
    <x v="0"/>
    <s v="Female"/>
    <d v="2023-01-28T00:00:00"/>
    <s v="January"/>
    <s v="Internal Medicine"/>
    <x v="3"/>
    <s v="Ciprofloxacin"/>
    <x v="0"/>
    <n v="6"/>
    <n v="497.37"/>
    <s v="Admitted"/>
  </r>
  <r>
    <n v="189"/>
    <n v="41"/>
    <x v="3"/>
    <s v="Male"/>
    <d v="2023-08-18T00:00:00"/>
    <s v="August"/>
    <s v="Internal Medicine"/>
    <x v="0"/>
    <s v="None"/>
    <x v="0"/>
    <n v="2"/>
    <n v="86.05"/>
    <s v="Admitted"/>
  </r>
  <r>
    <n v="190"/>
    <n v="18"/>
    <x v="2"/>
    <s v="Female"/>
    <d v="2024-04-28T00:00:00"/>
    <s v="April"/>
    <s v="Pediatrics"/>
    <x v="1"/>
    <s v="None"/>
    <x v="0"/>
    <n v="9"/>
    <n v="22.52"/>
    <s v="Recovered"/>
  </r>
  <r>
    <n v="191"/>
    <n v="28"/>
    <x v="4"/>
    <s v="Male"/>
    <d v="2023-01-20T00:00:00"/>
    <s v="January"/>
    <s v="Pediatrics"/>
    <x v="4"/>
    <s v="Amoxicillin"/>
    <x v="0"/>
    <n v="4"/>
    <n v="134.07"/>
    <s v="Recovered"/>
  </r>
  <r>
    <n v="192"/>
    <n v="54"/>
    <x v="3"/>
    <s v="Female"/>
    <d v="2023-02-18T00:00:00"/>
    <s v="February"/>
    <s v="Emergency"/>
    <x v="5"/>
    <s v="Amoxicillin"/>
    <x v="0"/>
    <n v="7"/>
    <n v="306.43"/>
    <s v="Recovered"/>
  </r>
  <r>
    <n v="193"/>
    <n v="74"/>
    <x v="1"/>
    <s v="Male"/>
    <d v="2024-10-09T00:00:00"/>
    <s v="October"/>
    <s v="Outpatient"/>
    <x v="2"/>
    <s v="None"/>
    <x v="0"/>
    <n v="4"/>
    <n v="226.03"/>
    <s v="Admitted"/>
  </r>
  <r>
    <n v="194"/>
    <n v="54"/>
    <x v="3"/>
    <s v="Male"/>
    <d v="2023-09-04T00:00:00"/>
    <s v="September"/>
    <s v="Emergency"/>
    <x v="2"/>
    <s v="None"/>
    <x v="0"/>
    <n v="8"/>
    <n v="487.83"/>
    <s v="Recovered"/>
  </r>
  <r>
    <n v="195"/>
    <n v="65"/>
    <x v="1"/>
    <s v="Male"/>
    <d v="2024-06-22T00:00:00"/>
    <s v="June"/>
    <s v="Pediatrics"/>
    <x v="2"/>
    <s v="None"/>
    <x v="0"/>
    <n v="7"/>
    <n v="40.9"/>
    <s v="Discharged"/>
  </r>
  <r>
    <n v="196"/>
    <n v="3"/>
    <x v="0"/>
    <s v="Female"/>
    <d v="2024-01-18T00:00:00"/>
    <s v="January"/>
    <s v="Emergency"/>
    <x v="4"/>
    <s v="Azithromycin"/>
    <x v="0"/>
    <n v="3"/>
    <n v="371.81"/>
    <s v="Recovered"/>
  </r>
  <r>
    <n v="197"/>
    <n v="43"/>
    <x v="3"/>
    <s v="Male"/>
    <d v="2024-08-18T00:00:00"/>
    <s v="August"/>
    <s v="Emergency"/>
    <x v="1"/>
    <s v="None"/>
    <x v="0"/>
    <n v="5"/>
    <n v="282.08999999999997"/>
    <s v="Referred"/>
  </r>
  <r>
    <n v="198"/>
    <n v="62"/>
    <x v="1"/>
    <s v="Male"/>
    <d v="2024-12-02T00:00:00"/>
    <s v="December"/>
    <s v="Outpatient"/>
    <x v="3"/>
    <s v="Amoxicillin"/>
    <x v="0"/>
    <n v="7"/>
    <n v="37.75"/>
    <s v="Referred"/>
  </r>
  <r>
    <n v="199"/>
    <n v="6"/>
    <x v="0"/>
    <s v="Female"/>
    <d v="2023-02-14T00:00:00"/>
    <s v="February"/>
    <s v="Internal Medicine"/>
    <x v="5"/>
    <s v="None"/>
    <x v="0"/>
    <n v="6"/>
    <n v="494.78"/>
    <s v="Discharged"/>
  </r>
  <r>
    <n v="200"/>
    <n v="83"/>
    <x v="1"/>
    <s v="Male"/>
    <d v="2023-09-17T00:00:00"/>
    <s v="September"/>
    <s v="Internal Medicine"/>
    <x v="0"/>
    <s v="None"/>
    <x v="0"/>
    <n v="5"/>
    <n v="433.83"/>
    <s v="Recovered"/>
  </r>
  <r>
    <n v="201"/>
    <n v="35"/>
    <x v="4"/>
    <s v="Male"/>
    <d v="2024-11-02T00:00:00"/>
    <s v="November"/>
    <s v="Internal Medicine"/>
    <x v="4"/>
    <s v="Ceftriaxone"/>
    <x v="0"/>
    <n v="6"/>
    <n v="376.79"/>
    <s v="Discharged"/>
  </r>
  <r>
    <n v="202"/>
    <n v="64"/>
    <x v="1"/>
    <s v="Female"/>
    <d v="2023-12-14T00:00:00"/>
    <s v="December"/>
    <s v="Internal Medicine"/>
    <x v="5"/>
    <s v="None"/>
    <x v="0"/>
    <n v="4"/>
    <n v="404.55"/>
    <s v="Discharged"/>
  </r>
  <r>
    <n v="203"/>
    <n v="78"/>
    <x v="1"/>
    <s v="Male"/>
    <d v="2023-03-22T00:00:00"/>
    <s v="March"/>
    <s v="Internal Medicine"/>
    <x v="3"/>
    <s v="Azithromycin"/>
    <x v="0"/>
    <n v="1"/>
    <n v="58.43"/>
    <s v="Admitted"/>
  </r>
  <r>
    <n v="204"/>
    <n v="78"/>
    <x v="1"/>
    <s v="Female"/>
    <d v="2023-11-10T00:00:00"/>
    <s v="November"/>
    <s v="Outpatient"/>
    <x v="3"/>
    <s v="Ceftriaxone"/>
    <x v="0"/>
    <n v="5"/>
    <n v="234.62"/>
    <s v="Admitted"/>
  </r>
  <r>
    <n v="205"/>
    <n v="36"/>
    <x v="3"/>
    <s v="Male"/>
    <d v="2024-09-21T00:00:00"/>
    <s v="September"/>
    <s v="Emergency"/>
    <x v="3"/>
    <s v="Ceftriaxone"/>
    <x v="0"/>
    <n v="5"/>
    <n v="266.27999999999997"/>
    <s v="Referred"/>
  </r>
  <r>
    <n v="206"/>
    <n v="78"/>
    <x v="1"/>
    <s v="Female"/>
    <d v="2023-02-01T00:00:00"/>
    <s v="February"/>
    <s v="Emergency"/>
    <x v="5"/>
    <s v="Ciprofloxacin"/>
    <x v="0"/>
    <n v="1"/>
    <n v="133.28"/>
    <s v="Admitted"/>
  </r>
  <r>
    <n v="207"/>
    <n v="73"/>
    <x v="1"/>
    <s v="Male"/>
    <d v="2024-01-06T00:00:00"/>
    <s v="January"/>
    <s v="Outpatient"/>
    <x v="3"/>
    <s v="Ceftriaxone"/>
    <x v="0"/>
    <n v="5"/>
    <n v="198.57"/>
    <s v="Recovered"/>
  </r>
  <r>
    <n v="208"/>
    <n v="68"/>
    <x v="1"/>
    <s v="Female"/>
    <d v="2024-08-10T00:00:00"/>
    <s v="August"/>
    <s v="Pediatrics"/>
    <x v="5"/>
    <s v="Azithromycin"/>
    <x v="0"/>
    <n v="10"/>
    <n v="153.77000000000001"/>
    <s v="Recovered"/>
  </r>
  <r>
    <n v="209"/>
    <n v="24"/>
    <x v="4"/>
    <s v="Female"/>
    <d v="2023-01-27T00:00:00"/>
    <s v="January"/>
    <s v="Pediatrics"/>
    <x v="1"/>
    <s v="None"/>
    <x v="0"/>
    <n v="8"/>
    <n v="76.53"/>
    <s v="Admitted"/>
  </r>
  <r>
    <n v="210"/>
    <n v="28"/>
    <x v="4"/>
    <s v="Female"/>
    <d v="2024-12-21T00:00:00"/>
    <s v="December"/>
    <s v="Pediatrics"/>
    <x v="3"/>
    <s v="Ciprofloxacin"/>
    <x v="0"/>
    <n v="1"/>
    <n v="85.15"/>
    <s v="Recovered"/>
  </r>
  <r>
    <n v="211"/>
    <n v="57"/>
    <x v="3"/>
    <s v="Male"/>
    <d v="2024-04-07T00:00:00"/>
    <s v="April"/>
    <s v="Internal Medicine"/>
    <x v="5"/>
    <s v="Azithromycin"/>
    <x v="0"/>
    <n v="1"/>
    <n v="284"/>
    <s v="Admitted"/>
  </r>
  <r>
    <n v="212"/>
    <n v="82"/>
    <x v="1"/>
    <s v="Male"/>
    <d v="2023-11-04T00:00:00"/>
    <s v="November"/>
    <s v="Internal Medicine"/>
    <x v="5"/>
    <s v="None"/>
    <x v="0"/>
    <n v="3"/>
    <n v="78.25"/>
    <s v="Referred"/>
  </r>
  <r>
    <n v="213"/>
    <n v="64"/>
    <x v="1"/>
    <s v="Male"/>
    <d v="2023-05-23T00:00:00"/>
    <s v="May"/>
    <s v="Internal Medicine"/>
    <x v="5"/>
    <s v="None"/>
    <x v="0"/>
    <n v="9"/>
    <n v="197.08"/>
    <s v="Referred"/>
  </r>
  <r>
    <n v="214"/>
    <n v="9"/>
    <x v="0"/>
    <s v="Female"/>
    <d v="2024-09-18T00:00:00"/>
    <s v="September"/>
    <s v="Pediatrics"/>
    <x v="0"/>
    <s v="None"/>
    <x v="0"/>
    <n v="7"/>
    <n v="272.33"/>
    <s v="Discharged"/>
  </r>
  <r>
    <n v="215"/>
    <n v="17"/>
    <x v="2"/>
    <s v="Female"/>
    <d v="2024-08-11T00:00:00"/>
    <s v="August"/>
    <s v="Emergency"/>
    <x v="0"/>
    <s v="None"/>
    <x v="0"/>
    <n v="7"/>
    <n v="243.6"/>
    <s v="Admitted"/>
  </r>
  <r>
    <n v="216"/>
    <n v="82"/>
    <x v="1"/>
    <s v="Male"/>
    <d v="2023-05-12T00:00:00"/>
    <s v="May"/>
    <s v="Outpatient"/>
    <x v="2"/>
    <s v="None"/>
    <x v="0"/>
    <n v="6"/>
    <n v="261.37"/>
    <s v="Recovered"/>
  </r>
  <r>
    <n v="217"/>
    <n v="20"/>
    <x v="4"/>
    <s v="Female"/>
    <d v="2023-05-08T00:00:00"/>
    <s v="May"/>
    <s v="Outpatient"/>
    <x v="2"/>
    <s v="None"/>
    <x v="0"/>
    <n v="2"/>
    <n v="174.88"/>
    <s v="Referred"/>
  </r>
  <r>
    <n v="218"/>
    <n v="37"/>
    <x v="3"/>
    <s v="Male"/>
    <d v="2023-12-21T00:00:00"/>
    <s v="December"/>
    <s v="Internal Medicine"/>
    <x v="2"/>
    <s v="None"/>
    <x v="0"/>
    <n v="3"/>
    <n v="324.83"/>
    <s v="Admitted"/>
  </r>
  <r>
    <n v="219"/>
    <n v="39"/>
    <x v="3"/>
    <s v="Male"/>
    <d v="2023-05-09T00:00:00"/>
    <s v="May"/>
    <s v="Outpatient"/>
    <x v="1"/>
    <s v="None"/>
    <x v="0"/>
    <n v="9"/>
    <n v="471.97"/>
    <s v="Referred"/>
  </r>
  <r>
    <n v="220"/>
    <n v="80"/>
    <x v="1"/>
    <s v="Female"/>
    <d v="2023-06-25T00:00:00"/>
    <s v="June"/>
    <s v="Emergency"/>
    <x v="1"/>
    <s v="None"/>
    <x v="0"/>
    <n v="0"/>
    <n v="58.99"/>
    <s v="Admitted"/>
  </r>
  <r>
    <n v="221"/>
    <n v="74"/>
    <x v="1"/>
    <s v="Female"/>
    <d v="2024-10-28T00:00:00"/>
    <s v="October"/>
    <s v="Emergency"/>
    <x v="5"/>
    <s v="Ceftriaxone"/>
    <x v="0"/>
    <n v="10"/>
    <n v="281.88"/>
    <s v="Admitted"/>
  </r>
  <r>
    <n v="222"/>
    <n v="52"/>
    <x v="3"/>
    <s v="Female"/>
    <d v="2024-05-09T00:00:00"/>
    <s v="May"/>
    <s v="Pediatrics"/>
    <x v="5"/>
    <s v="Amoxicillin"/>
    <x v="0"/>
    <n v="0"/>
    <n v="95.88"/>
    <s v="Discharged"/>
  </r>
  <r>
    <n v="223"/>
    <n v="27"/>
    <x v="4"/>
    <s v="Female"/>
    <d v="2024-05-10T00:00:00"/>
    <s v="May"/>
    <s v="Outpatient"/>
    <x v="3"/>
    <s v="Azithromycin"/>
    <x v="0"/>
    <n v="5"/>
    <n v="372.42"/>
    <s v="Admitted"/>
  </r>
  <r>
    <n v="224"/>
    <n v="48"/>
    <x v="3"/>
    <s v="Male"/>
    <d v="2024-02-13T00:00:00"/>
    <s v="February"/>
    <s v="Internal Medicine"/>
    <x v="5"/>
    <s v="Ciprofloxacin"/>
    <x v="0"/>
    <n v="7"/>
    <n v="78.81"/>
    <s v="Discharged"/>
  </r>
  <r>
    <n v="225"/>
    <n v="13"/>
    <x v="2"/>
    <s v="Male"/>
    <d v="2023-09-11T00:00:00"/>
    <s v="September"/>
    <s v="Internal Medicine"/>
    <x v="5"/>
    <s v="Ceftriaxone"/>
    <x v="0"/>
    <n v="9"/>
    <n v="220.7"/>
    <s v="Referred"/>
  </r>
  <r>
    <n v="226"/>
    <n v="41"/>
    <x v="3"/>
    <s v="Male"/>
    <d v="2023-12-02T00:00:00"/>
    <s v="December"/>
    <s v="Outpatient"/>
    <x v="2"/>
    <s v="None"/>
    <x v="0"/>
    <n v="7"/>
    <n v="498.07"/>
    <s v="Discharged"/>
  </r>
  <r>
    <n v="227"/>
    <n v="64"/>
    <x v="1"/>
    <s v="Male"/>
    <d v="2024-05-25T00:00:00"/>
    <s v="May"/>
    <s v="Emergency"/>
    <x v="4"/>
    <s v="Ceftriaxone"/>
    <x v="0"/>
    <n v="8"/>
    <n v="239.47"/>
    <s v="Referred"/>
  </r>
  <r>
    <n v="228"/>
    <n v="46"/>
    <x v="3"/>
    <s v="Male"/>
    <d v="2023-08-09T00:00:00"/>
    <s v="August"/>
    <s v="Emergency"/>
    <x v="2"/>
    <s v="None"/>
    <x v="0"/>
    <n v="4"/>
    <n v="257.55"/>
    <s v="Discharged"/>
  </r>
  <r>
    <n v="229"/>
    <n v="2"/>
    <x v="0"/>
    <s v="Male"/>
    <d v="2023-10-20T00:00:00"/>
    <s v="October"/>
    <s v="Pediatrics"/>
    <x v="2"/>
    <s v="None"/>
    <x v="0"/>
    <n v="2"/>
    <n v="443.58"/>
    <s v="Admitted"/>
  </r>
  <r>
    <n v="230"/>
    <n v="6"/>
    <x v="0"/>
    <s v="Female"/>
    <d v="2024-02-17T00:00:00"/>
    <s v="February"/>
    <s v="Emergency"/>
    <x v="4"/>
    <s v="None"/>
    <x v="0"/>
    <n v="8"/>
    <n v="113.43"/>
    <s v="Admitted"/>
  </r>
  <r>
    <n v="231"/>
    <n v="65"/>
    <x v="1"/>
    <s v="Female"/>
    <d v="2023-03-17T00:00:00"/>
    <s v="March"/>
    <s v="Internal Medicine"/>
    <x v="3"/>
    <s v="None"/>
    <x v="0"/>
    <n v="10"/>
    <n v="313.3"/>
    <s v="Referred"/>
  </r>
  <r>
    <n v="232"/>
    <n v="48"/>
    <x v="3"/>
    <s v="Female"/>
    <d v="2023-04-10T00:00:00"/>
    <s v="April"/>
    <s v="Internal Medicine"/>
    <x v="3"/>
    <s v="Ciprofloxacin"/>
    <x v="0"/>
    <n v="3"/>
    <n v="309.18"/>
    <s v="Discharged"/>
  </r>
  <r>
    <n v="233"/>
    <n v="6"/>
    <x v="0"/>
    <s v="Male"/>
    <d v="2024-05-27T00:00:00"/>
    <s v="May"/>
    <s v="Outpatient"/>
    <x v="0"/>
    <s v="None"/>
    <x v="0"/>
    <n v="5"/>
    <n v="405.9"/>
    <s v="Discharged"/>
  </r>
  <r>
    <n v="234"/>
    <n v="66"/>
    <x v="1"/>
    <s v="Male"/>
    <d v="2023-06-02T00:00:00"/>
    <s v="June"/>
    <s v="Internal Medicine"/>
    <x v="2"/>
    <s v="None"/>
    <x v="0"/>
    <n v="9"/>
    <n v="172.89"/>
    <s v="Discharged"/>
  </r>
  <r>
    <n v="235"/>
    <n v="39"/>
    <x v="3"/>
    <s v="Female"/>
    <d v="2024-09-23T00:00:00"/>
    <s v="September"/>
    <s v="Pediatrics"/>
    <x v="1"/>
    <s v="None"/>
    <x v="0"/>
    <n v="9"/>
    <n v="163.9"/>
    <s v="Recovered"/>
  </r>
  <r>
    <n v="236"/>
    <n v="15"/>
    <x v="2"/>
    <s v="Female"/>
    <d v="2024-01-13T00:00:00"/>
    <s v="January"/>
    <s v="Internal Medicine"/>
    <x v="4"/>
    <s v="Amoxicillin"/>
    <x v="0"/>
    <n v="9"/>
    <n v="247.8"/>
    <s v="Referred"/>
  </r>
  <r>
    <n v="237"/>
    <n v="62"/>
    <x v="1"/>
    <s v="Male"/>
    <d v="2023-02-22T00:00:00"/>
    <s v="February"/>
    <s v="Pediatrics"/>
    <x v="2"/>
    <s v="None"/>
    <x v="0"/>
    <n v="2"/>
    <n v="414.4"/>
    <s v="Referred"/>
  </r>
  <r>
    <n v="238"/>
    <n v="15"/>
    <x v="2"/>
    <s v="Male"/>
    <d v="2023-02-02T00:00:00"/>
    <s v="February"/>
    <s v="Emergency"/>
    <x v="2"/>
    <s v="None"/>
    <x v="0"/>
    <n v="7"/>
    <n v="170.57"/>
    <s v="Referred"/>
  </r>
  <r>
    <n v="239"/>
    <n v="27"/>
    <x v="4"/>
    <s v="Female"/>
    <d v="2024-02-27T00:00:00"/>
    <s v="February"/>
    <s v="Pediatrics"/>
    <x v="1"/>
    <s v="None"/>
    <x v="0"/>
    <n v="0"/>
    <n v="358.77"/>
    <s v="Referred"/>
  </r>
  <r>
    <n v="240"/>
    <n v="85"/>
    <x v="1"/>
    <s v="Female"/>
    <d v="2024-07-28T00:00:00"/>
    <s v="July"/>
    <s v="Pediatrics"/>
    <x v="4"/>
    <s v="Azithromycin"/>
    <x v="0"/>
    <n v="2"/>
    <n v="240.64"/>
    <s v="Admitted"/>
  </r>
  <r>
    <n v="241"/>
    <n v="83"/>
    <x v="1"/>
    <s v="Female"/>
    <d v="2024-07-13T00:00:00"/>
    <s v="July"/>
    <s v="Pediatrics"/>
    <x v="4"/>
    <s v="Ciprofloxacin"/>
    <x v="0"/>
    <n v="3"/>
    <n v="153.91999999999999"/>
    <s v="Admitted"/>
  </r>
  <r>
    <n v="242"/>
    <n v="37"/>
    <x v="3"/>
    <s v="Male"/>
    <d v="2023-08-19T00:00:00"/>
    <s v="August"/>
    <s v="Pediatrics"/>
    <x v="4"/>
    <s v="Azithromycin"/>
    <x v="0"/>
    <n v="7"/>
    <n v="187.43"/>
    <s v="Admitted"/>
  </r>
  <r>
    <n v="243"/>
    <n v="74"/>
    <x v="1"/>
    <s v="Female"/>
    <d v="2023-10-22T00:00:00"/>
    <s v="October"/>
    <s v="Pediatrics"/>
    <x v="0"/>
    <s v="None"/>
    <x v="0"/>
    <n v="5"/>
    <n v="478.21"/>
    <s v="Referred"/>
  </r>
  <r>
    <n v="244"/>
    <n v="37"/>
    <x v="3"/>
    <s v="Male"/>
    <d v="2023-10-25T00:00:00"/>
    <s v="October"/>
    <s v="Internal Medicine"/>
    <x v="0"/>
    <s v="None"/>
    <x v="0"/>
    <n v="7"/>
    <n v="334.87"/>
    <s v="Discharged"/>
  </r>
  <r>
    <n v="245"/>
    <n v="69"/>
    <x v="1"/>
    <s v="Female"/>
    <d v="2023-08-08T00:00:00"/>
    <s v="August"/>
    <s v="Internal Medicine"/>
    <x v="5"/>
    <s v="Ciprofloxacin"/>
    <x v="0"/>
    <n v="1"/>
    <n v="315.52"/>
    <s v="Referred"/>
  </r>
  <r>
    <n v="246"/>
    <n v="68"/>
    <x v="1"/>
    <s v="Male"/>
    <d v="2023-09-06T00:00:00"/>
    <s v="September"/>
    <s v="Outpatient"/>
    <x v="0"/>
    <s v="None"/>
    <x v="0"/>
    <n v="0"/>
    <n v="68.099999999999994"/>
    <s v="Admitted"/>
  </r>
  <r>
    <n v="247"/>
    <n v="18"/>
    <x v="2"/>
    <s v="Male"/>
    <d v="2024-04-28T00:00:00"/>
    <s v="April"/>
    <s v="Outpatient"/>
    <x v="0"/>
    <s v="None"/>
    <x v="0"/>
    <n v="6"/>
    <n v="333.39"/>
    <s v="Discharged"/>
  </r>
  <r>
    <n v="248"/>
    <n v="26"/>
    <x v="4"/>
    <s v="Female"/>
    <d v="2024-05-03T00:00:00"/>
    <s v="May"/>
    <s v="Internal Medicine"/>
    <x v="1"/>
    <s v="None"/>
    <x v="0"/>
    <n v="4"/>
    <n v="330.03"/>
    <s v="Recovered"/>
  </r>
  <r>
    <n v="249"/>
    <n v="30"/>
    <x v="4"/>
    <s v="Male"/>
    <d v="2024-10-29T00:00:00"/>
    <s v="October"/>
    <s v="Outpatient"/>
    <x v="2"/>
    <s v="None"/>
    <x v="0"/>
    <n v="6"/>
    <n v="443.48"/>
    <s v="Referred"/>
  </r>
  <r>
    <n v="250"/>
    <n v="64"/>
    <x v="1"/>
    <s v="Male"/>
    <d v="2023-02-07T00:00:00"/>
    <s v="February"/>
    <s v="Internal Medicine"/>
    <x v="3"/>
    <s v="Amoxicillin"/>
    <x v="0"/>
    <n v="0"/>
    <n v="163.22999999999999"/>
    <s v="Recovered"/>
  </r>
  <r>
    <n v="251"/>
    <n v="59"/>
    <x v="3"/>
    <s v="Female"/>
    <d v="2023-12-10T00:00:00"/>
    <s v="December"/>
    <s v="Outpatient"/>
    <x v="4"/>
    <s v="None"/>
    <x v="0"/>
    <n v="7"/>
    <n v="150.96"/>
    <s v="Recovered"/>
  </r>
  <r>
    <n v="252"/>
    <n v="59"/>
    <x v="3"/>
    <s v="Female"/>
    <d v="2023-12-05T00:00:00"/>
    <s v="December"/>
    <s v="Outpatient"/>
    <x v="5"/>
    <s v="Amoxicillin"/>
    <x v="0"/>
    <n v="5"/>
    <n v="399.57"/>
    <s v="Referred"/>
  </r>
  <r>
    <n v="253"/>
    <n v="82"/>
    <x v="1"/>
    <s v="Female"/>
    <d v="2023-06-29T00:00:00"/>
    <s v="June"/>
    <s v="Pediatrics"/>
    <x v="2"/>
    <s v="None"/>
    <x v="0"/>
    <n v="8"/>
    <n v="177.4"/>
    <s v="Discharged"/>
  </r>
  <r>
    <n v="254"/>
    <n v="24"/>
    <x v="4"/>
    <s v="Male"/>
    <d v="2024-11-16T00:00:00"/>
    <s v="November"/>
    <s v="Pediatrics"/>
    <x v="0"/>
    <s v="None"/>
    <x v="0"/>
    <n v="5"/>
    <n v="469.2"/>
    <s v="Recovered"/>
  </r>
  <r>
    <n v="255"/>
    <n v="31"/>
    <x v="4"/>
    <s v="Female"/>
    <d v="2023-09-25T00:00:00"/>
    <s v="September"/>
    <s v="Internal Medicine"/>
    <x v="3"/>
    <s v="Azithromycin"/>
    <x v="0"/>
    <n v="4"/>
    <n v="299.58"/>
    <s v="Recovered"/>
  </r>
  <r>
    <n v="256"/>
    <n v="47"/>
    <x v="3"/>
    <s v="Male"/>
    <d v="2023-09-25T00:00:00"/>
    <s v="September"/>
    <s v="Emergency"/>
    <x v="1"/>
    <s v="None"/>
    <x v="0"/>
    <n v="10"/>
    <n v="76.75"/>
    <s v="Admitted"/>
  </r>
  <r>
    <n v="257"/>
    <n v="65"/>
    <x v="1"/>
    <s v="Female"/>
    <d v="2023-06-13T00:00:00"/>
    <s v="June"/>
    <s v="Emergency"/>
    <x v="3"/>
    <s v="Azithromycin"/>
    <x v="0"/>
    <n v="5"/>
    <n v="315.02"/>
    <s v="Referred"/>
  </r>
  <r>
    <n v="258"/>
    <n v="20"/>
    <x v="4"/>
    <s v="Female"/>
    <d v="2023-05-17T00:00:00"/>
    <s v="May"/>
    <s v="Internal Medicine"/>
    <x v="3"/>
    <s v="Ceftriaxone"/>
    <x v="0"/>
    <n v="8"/>
    <n v="458.14"/>
    <s v="Referred"/>
  </r>
  <r>
    <n v="259"/>
    <n v="77"/>
    <x v="1"/>
    <s v="Male"/>
    <d v="2023-09-11T00:00:00"/>
    <s v="September"/>
    <s v="Pediatrics"/>
    <x v="1"/>
    <s v="None"/>
    <x v="0"/>
    <n v="8"/>
    <n v="357.81"/>
    <s v="Recovered"/>
  </r>
  <r>
    <n v="260"/>
    <n v="8"/>
    <x v="0"/>
    <s v="Male"/>
    <d v="2024-07-31T00:00:00"/>
    <s v="July"/>
    <s v="Outpatient"/>
    <x v="0"/>
    <s v="None"/>
    <x v="0"/>
    <n v="2"/>
    <n v="177.5"/>
    <s v="Discharged"/>
  </r>
  <r>
    <n v="261"/>
    <n v="27"/>
    <x v="4"/>
    <s v="Female"/>
    <d v="2023-04-30T00:00:00"/>
    <s v="April"/>
    <s v="Emergency"/>
    <x v="1"/>
    <s v="None"/>
    <x v="0"/>
    <n v="8"/>
    <n v="233.83"/>
    <s v="Recovered"/>
  </r>
  <r>
    <n v="262"/>
    <n v="66"/>
    <x v="1"/>
    <s v="Female"/>
    <d v="2024-04-09T00:00:00"/>
    <s v="April"/>
    <s v="Pediatrics"/>
    <x v="5"/>
    <s v="None"/>
    <x v="0"/>
    <n v="0"/>
    <n v="288.22000000000003"/>
    <s v="Admitted"/>
  </r>
  <r>
    <n v="263"/>
    <n v="33"/>
    <x v="4"/>
    <s v="Male"/>
    <d v="2023-01-23T00:00:00"/>
    <s v="January"/>
    <s v="Outpatient"/>
    <x v="3"/>
    <s v="None"/>
    <x v="0"/>
    <n v="1"/>
    <n v="41.74"/>
    <s v="Admitted"/>
  </r>
  <r>
    <n v="264"/>
    <n v="70"/>
    <x v="1"/>
    <s v="Male"/>
    <d v="2024-12-18T00:00:00"/>
    <s v="December"/>
    <s v="Emergency"/>
    <x v="0"/>
    <s v="None"/>
    <x v="0"/>
    <n v="7"/>
    <n v="35.229999999999997"/>
    <s v="Discharged"/>
  </r>
  <r>
    <n v="265"/>
    <n v="83"/>
    <x v="1"/>
    <s v="Female"/>
    <d v="2023-07-04T00:00:00"/>
    <s v="July"/>
    <s v="Internal Medicine"/>
    <x v="5"/>
    <s v="Ceftriaxone"/>
    <x v="0"/>
    <n v="7"/>
    <n v="437.42"/>
    <s v="Discharged"/>
  </r>
  <r>
    <n v="266"/>
    <n v="85"/>
    <x v="1"/>
    <s v="Male"/>
    <d v="2024-01-20T00:00:00"/>
    <s v="January"/>
    <s v="Internal Medicine"/>
    <x v="0"/>
    <s v="None"/>
    <x v="0"/>
    <n v="1"/>
    <n v="105.67"/>
    <s v="Discharged"/>
  </r>
  <r>
    <n v="267"/>
    <n v="29"/>
    <x v="4"/>
    <s v="Male"/>
    <d v="2024-06-25T00:00:00"/>
    <s v="June"/>
    <s v="Emergency"/>
    <x v="5"/>
    <s v="Azithromycin"/>
    <x v="0"/>
    <n v="7"/>
    <n v="343.28"/>
    <s v="Discharged"/>
  </r>
  <r>
    <n v="268"/>
    <n v="30"/>
    <x v="4"/>
    <s v="Male"/>
    <d v="2024-06-28T00:00:00"/>
    <s v="June"/>
    <s v="Pediatrics"/>
    <x v="3"/>
    <s v="Azithromycin"/>
    <x v="0"/>
    <n v="2"/>
    <n v="152.31"/>
    <s v="Recovered"/>
  </r>
  <r>
    <n v="269"/>
    <n v="54"/>
    <x v="3"/>
    <s v="Male"/>
    <d v="2023-02-02T00:00:00"/>
    <s v="February"/>
    <s v="Outpatient"/>
    <x v="1"/>
    <s v="None"/>
    <x v="0"/>
    <n v="3"/>
    <n v="52.3"/>
    <s v="Recovered"/>
  </r>
  <r>
    <n v="270"/>
    <n v="7"/>
    <x v="0"/>
    <s v="Male"/>
    <d v="2024-04-02T00:00:00"/>
    <s v="April"/>
    <s v="Emergency"/>
    <x v="2"/>
    <s v="None"/>
    <x v="0"/>
    <n v="6"/>
    <n v="230.7"/>
    <s v="Referred"/>
  </r>
  <r>
    <n v="271"/>
    <n v="65"/>
    <x v="1"/>
    <s v="Female"/>
    <d v="2023-02-27T00:00:00"/>
    <s v="February"/>
    <s v="Outpatient"/>
    <x v="5"/>
    <s v="None"/>
    <x v="0"/>
    <n v="5"/>
    <n v="297.19"/>
    <s v="Admitted"/>
  </r>
  <r>
    <n v="272"/>
    <n v="19"/>
    <x v="2"/>
    <s v="Male"/>
    <d v="2023-08-31T00:00:00"/>
    <s v="August"/>
    <s v="Pediatrics"/>
    <x v="4"/>
    <s v="Azithromycin"/>
    <x v="0"/>
    <n v="4"/>
    <n v="49.26"/>
    <s v="Referred"/>
  </r>
  <r>
    <n v="273"/>
    <n v="55"/>
    <x v="3"/>
    <s v="Female"/>
    <d v="2024-10-03T00:00:00"/>
    <s v="October"/>
    <s v="Emergency"/>
    <x v="1"/>
    <s v="None"/>
    <x v="0"/>
    <n v="5"/>
    <n v="471.96"/>
    <s v="Discharged"/>
  </r>
  <r>
    <n v="274"/>
    <n v="54"/>
    <x v="3"/>
    <s v="Female"/>
    <d v="2024-06-21T00:00:00"/>
    <s v="June"/>
    <s v="Outpatient"/>
    <x v="4"/>
    <s v="Azithromycin"/>
    <x v="0"/>
    <n v="6"/>
    <n v="108.26"/>
    <s v="Discharged"/>
  </r>
  <r>
    <n v="275"/>
    <n v="39"/>
    <x v="3"/>
    <s v="Male"/>
    <d v="2023-09-04T00:00:00"/>
    <s v="September"/>
    <s v="Pediatrics"/>
    <x v="5"/>
    <s v="Amoxicillin"/>
    <x v="0"/>
    <n v="8"/>
    <n v="218.09"/>
    <s v="Discharged"/>
  </r>
  <r>
    <n v="276"/>
    <n v="18"/>
    <x v="2"/>
    <s v="Female"/>
    <d v="2024-07-24T00:00:00"/>
    <s v="July"/>
    <s v="Outpatient"/>
    <x v="2"/>
    <s v="None"/>
    <x v="0"/>
    <n v="4"/>
    <n v="117.6"/>
    <s v="Recovered"/>
  </r>
  <r>
    <n v="277"/>
    <n v="12"/>
    <x v="0"/>
    <s v="Male"/>
    <d v="2024-04-05T00:00:00"/>
    <s v="April"/>
    <s v="Emergency"/>
    <x v="4"/>
    <s v="Azithromycin"/>
    <x v="0"/>
    <n v="6"/>
    <n v="343.36"/>
    <s v="Recovered"/>
  </r>
  <r>
    <n v="278"/>
    <n v="76"/>
    <x v="1"/>
    <s v="Male"/>
    <d v="2023-03-16T00:00:00"/>
    <s v="March"/>
    <s v="Pediatrics"/>
    <x v="5"/>
    <s v="Ciprofloxacin"/>
    <x v="0"/>
    <n v="5"/>
    <n v="165.53"/>
    <s v="Recovered"/>
  </r>
  <r>
    <n v="279"/>
    <n v="16"/>
    <x v="2"/>
    <s v="Female"/>
    <d v="2023-08-05T00:00:00"/>
    <s v="August"/>
    <s v="Outpatient"/>
    <x v="5"/>
    <s v="None"/>
    <x v="0"/>
    <n v="3"/>
    <n v="210.38"/>
    <s v="Referred"/>
  </r>
  <r>
    <n v="280"/>
    <n v="37"/>
    <x v="3"/>
    <s v="Female"/>
    <d v="2024-07-19T00:00:00"/>
    <s v="July"/>
    <s v="Pediatrics"/>
    <x v="4"/>
    <s v="None"/>
    <x v="0"/>
    <n v="10"/>
    <n v="192.44"/>
    <s v="Admitted"/>
  </r>
  <r>
    <n v="281"/>
    <n v="64"/>
    <x v="1"/>
    <s v="Female"/>
    <d v="2024-01-04T00:00:00"/>
    <s v="January"/>
    <s v="Emergency"/>
    <x v="2"/>
    <s v="None"/>
    <x v="0"/>
    <n v="7"/>
    <n v="385.58"/>
    <s v="Admitted"/>
  </r>
  <r>
    <n v="282"/>
    <n v="41"/>
    <x v="3"/>
    <s v="Female"/>
    <d v="2023-07-28T00:00:00"/>
    <s v="July"/>
    <s v="Emergency"/>
    <x v="4"/>
    <s v="None"/>
    <x v="0"/>
    <n v="3"/>
    <n v="375.8"/>
    <s v="Recovered"/>
  </r>
  <r>
    <n v="283"/>
    <n v="75"/>
    <x v="1"/>
    <s v="Female"/>
    <d v="2023-09-25T00:00:00"/>
    <s v="September"/>
    <s v="Internal Medicine"/>
    <x v="2"/>
    <s v="None"/>
    <x v="0"/>
    <n v="2"/>
    <n v="114.17"/>
    <s v="Referred"/>
  </r>
  <r>
    <n v="284"/>
    <n v="32"/>
    <x v="4"/>
    <s v="Female"/>
    <d v="2024-01-24T00:00:00"/>
    <s v="January"/>
    <s v="Internal Medicine"/>
    <x v="2"/>
    <s v="None"/>
    <x v="0"/>
    <n v="4"/>
    <n v="386.41"/>
    <s v="Discharged"/>
  </r>
  <r>
    <n v="285"/>
    <n v="63"/>
    <x v="1"/>
    <s v="Female"/>
    <d v="2024-10-19T00:00:00"/>
    <s v="October"/>
    <s v="Outpatient"/>
    <x v="1"/>
    <s v="None"/>
    <x v="0"/>
    <n v="5"/>
    <n v="101.25"/>
    <s v="Discharged"/>
  </r>
  <r>
    <n v="286"/>
    <n v="83"/>
    <x v="1"/>
    <s v="Male"/>
    <d v="2023-07-08T00:00:00"/>
    <s v="July"/>
    <s v="Emergency"/>
    <x v="2"/>
    <s v="None"/>
    <x v="0"/>
    <n v="1"/>
    <n v="473.69"/>
    <s v="Recovered"/>
  </r>
  <r>
    <n v="287"/>
    <n v="18"/>
    <x v="2"/>
    <s v="Male"/>
    <d v="2023-01-07T00:00:00"/>
    <s v="January"/>
    <s v="Emergency"/>
    <x v="3"/>
    <s v="Ciprofloxacin"/>
    <x v="0"/>
    <n v="0"/>
    <n v="124.99"/>
    <s v="Discharged"/>
  </r>
  <r>
    <n v="288"/>
    <n v="80"/>
    <x v="1"/>
    <s v="Female"/>
    <d v="2024-01-18T00:00:00"/>
    <s v="January"/>
    <s v="Pediatrics"/>
    <x v="0"/>
    <s v="None"/>
    <x v="0"/>
    <n v="0"/>
    <n v="23.17"/>
    <s v="Discharged"/>
  </r>
  <r>
    <n v="289"/>
    <n v="68"/>
    <x v="1"/>
    <s v="Female"/>
    <d v="2023-01-13T00:00:00"/>
    <s v="January"/>
    <s v="Internal Medicine"/>
    <x v="0"/>
    <s v="None"/>
    <x v="0"/>
    <n v="0"/>
    <n v="261.06"/>
    <s v="Discharged"/>
  </r>
  <r>
    <n v="290"/>
    <n v="13"/>
    <x v="2"/>
    <s v="Male"/>
    <d v="2023-07-03T00:00:00"/>
    <s v="July"/>
    <s v="Outpatient"/>
    <x v="0"/>
    <s v="None"/>
    <x v="0"/>
    <n v="3"/>
    <n v="317.49"/>
    <s v="Admitted"/>
  </r>
  <r>
    <n v="291"/>
    <n v="51"/>
    <x v="3"/>
    <s v="Male"/>
    <d v="2023-12-29T00:00:00"/>
    <s v="December"/>
    <s v="Internal Medicine"/>
    <x v="4"/>
    <s v="Ceftriaxone"/>
    <x v="0"/>
    <n v="7"/>
    <n v="291.2"/>
    <s v="Referred"/>
  </r>
  <r>
    <n v="292"/>
    <n v="11"/>
    <x v="0"/>
    <s v="Male"/>
    <d v="2023-11-04T00:00:00"/>
    <s v="November"/>
    <s v="Emergency"/>
    <x v="1"/>
    <s v="None"/>
    <x v="0"/>
    <n v="6"/>
    <n v="202.05"/>
    <s v="Discharged"/>
  </r>
  <r>
    <n v="293"/>
    <n v="2"/>
    <x v="0"/>
    <s v="Male"/>
    <d v="2023-02-27T00:00:00"/>
    <s v="February"/>
    <s v="Emergency"/>
    <x v="1"/>
    <s v="None"/>
    <x v="0"/>
    <n v="7"/>
    <n v="425.76"/>
    <s v="Admitted"/>
  </r>
  <r>
    <n v="294"/>
    <n v="68"/>
    <x v="1"/>
    <s v="Male"/>
    <d v="2024-08-02T00:00:00"/>
    <s v="August"/>
    <s v="Outpatient"/>
    <x v="0"/>
    <s v="None"/>
    <x v="0"/>
    <n v="3"/>
    <n v="452.61"/>
    <s v="Discharged"/>
  </r>
  <r>
    <n v="295"/>
    <n v="10"/>
    <x v="0"/>
    <s v="Female"/>
    <d v="2023-10-05T00:00:00"/>
    <s v="October"/>
    <s v="Emergency"/>
    <x v="0"/>
    <s v="None"/>
    <x v="0"/>
    <n v="2"/>
    <n v="465.81"/>
    <s v="Admitted"/>
  </r>
  <r>
    <n v="296"/>
    <n v="76"/>
    <x v="1"/>
    <s v="Male"/>
    <d v="2023-01-17T00:00:00"/>
    <s v="January"/>
    <s v="Pediatrics"/>
    <x v="5"/>
    <s v="Amoxicillin"/>
    <x v="0"/>
    <n v="4"/>
    <n v="97.98"/>
    <s v="Referred"/>
  </r>
  <r>
    <n v="297"/>
    <n v="70"/>
    <x v="1"/>
    <s v="Female"/>
    <d v="2024-08-03T00:00:00"/>
    <s v="August"/>
    <s v="Pediatrics"/>
    <x v="3"/>
    <s v="Ciprofloxacin"/>
    <x v="0"/>
    <n v="1"/>
    <n v="260.38"/>
    <s v="Admitted"/>
  </r>
  <r>
    <n v="298"/>
    <n v="56"/>
    <x v="3"/>
    <s v="Male"/>
    <d v="2023-02-24T00:00:00"/>
    <s v="February"/>
    <s v="Emergency"/>
    <x v="0"/>
    <s v="None"/>
    <x v="0"/>
    <n v="5"/>
    <n v="310.48"/>
    <s v="Discharged"/>
  </r>
  <r>
    <n v="299"/>
    <n v="82"/>
    <x v="1"/>
    <s v="Female"/>
    <d v="2023-12-01T00:00:00"/>
    <s v="December"/>
    <s v="Pediatrics"/>
    <x v="0"/>
    <s v="None"/>
    <x v="0"/>
    <n v="7"/>
    <n v="129.51"/>
    <s v="Discharged"/>
  </r>
  <r>
    <n v="300"/>
    <n v="75"/>
    <x v="1"/>
    <s v="Female"/>
    <d v="2024-03-18T00:00:00"/>
    <s v="March"/>
    <s v="Emergency"/>
    <x v="5"/>
    <s v="None"/>
    <x v="0"/>
    <n v="4"/>
    <n v="403.07"/>
    <s v="Recovered"/>
  </r>
  <r>
    <n v="301"/>
    <n v="20"/>
    <x v="4"/>
    <s v="Female"/>
    <d v="2023-03-26T00:00:00"/>
    <s v="March"/>
    <s v="Outpatient"/>
    <x v="4"/>
    <s v="Ceftriaxone"/>
    <x v="0"/>
    <n v="5"/>
    <n v="193.14"/>
    <s v="Recovered"/>
  </r>
  <r>
    <n v="302"/>
    <n v="57"/>
    <x v="3"/>
    <s v="Female"/>
    <d v="2023-01-06T00:00:00"/>
    <s v="January"/>
    <s v="Internal Medicine"/>
    <x v="4"/>
    <s v="Amoxicillin"/>
    <x v="0"/>
    <n v="2"/>
    <n v="61.9"/>
    <s v="Discharged"/>
  </r>
  <r>
    <n v="303"/>
    <n v="72"/>
    <x v="1"/>
    <s v="Female"/>
    <d v="2024-04-04T00:00:00"/>
    <s v="April"/>
    <s v="Emergency"/>
    <x v="2"/>
    <s v="None"/>
    <x v="0"/>
    <n v="0"/>
    <n v="63.02"/>
    <s v="Recovered"/>
  </r>
  <r>
    <n v="304"/>
    <n v="42"/>
    <x v="3"/>
    <s v="Female"/>
    <d v="2024-09-03T00:00:00"/>
    <s v="September"/>
    <s v="Emergency"/>
    <x v="2"/>
    <s v="None"/>
    <x v="0"/>
    <n v="4"/>
    <n v="218.63"/>
    <s v="Recovered"/>
  </r>
  <r>
    <n v="305"/>
    <n v="74"/>
    <x v="1"/>
    <s v="Male"/>
    <d v="2024-07-26T00:00:00"/>
    <s v="July"/>
    <s v="Pediatrics"/>
    <x v="5"/>
    <s v="Ciprofloxacin"/>
    <x v="0"/>
    <n v="2"/>
    <n v="149.08000000000001"/>
    <s v="Admitted"/>
  </r>
  <r>
    <n v="306"/>
    <n v="9"/>
    <x v="0"/>
    <s v="Male"/>
    <d v="2024-05-19T00:00:00"/>
    <s v="May"/>
    <s v="Pediatrics"/>
    <x v="5"/>
    <s v="Azithromycin"/>
    <x v="0"/>
    <n v="6"/>
    <n v="163.88"/>
    <s v="Recovered"/>
  </r>
  <r>
    <n v="307"/>
    <n v="32"/>
    <x v="4"/>
    <s v="Female"/>
    <d v="2024-01-05T00:00:00"/>
    <s v="January"/>
    <s v="Outpatient"/>
    <x v="4"/>
    <s v="Ceftriaxone"/>
    <x v="0"/>
    <n v="1"/>
    <n v="85.03"/>
    <s v="Recovered"/>
  </r>
  <r>
    <n v="308"/>
    <n v="80"/>
    <x v="1"/>
    <s v="Female"/>
    <d v="2024-02-10T00:00:00"/>
    <s v="February"/>
    <s v="Internal Medicine"/>
    <x v="4"/>
    <s v="Ceftriaxone"/>
    <x v="0"/>
    <n v="5"/>
    <n v="226.7"/>
    <s v="Referred"/>
  </r>
  <r>
    <n v="309"/>
    <n v="78"/>
    <x v="1"/>
    <s v="Male"/>
    <d v="2023-11-04T00:00:00"/>
    <s v="November"/>
    <s v="Pediatrics"/>
    <x v="4"/>
    <s v="Azithromycin"/>
    <x v="0"/>
    <n v="2"/>
    <n v="483"/>
    <s v="Admitted"/>
  </r>
  <r>
    <n v="310"/>
    <n v="82"/>
    <x v="1"/>
    <s v="Female"/>
    <d v="2023-10-26T00:00:00"/>
    <s v="October"/>
    <s v="Outpatient"/>
    <x v="1"/>
    <s v="None"/>
    <x v="0"/>
    <n v="5"/>
    <n v="200.51"/>
    <s v="Discharged"/>
  </r>
  <r>
    <n v="311"/>
    <n v="73"/>
    <x v="1"/>
    <s v="Male"/>
    <d v="2024-01-09T00:00:00"/>
    <s v="January"/>
    <s v="Outpatient"/>
    <x v="0"/>
    <s v="None"/>
    <x v="0"/>
    <n v="10"/>
    <n v="388.46"/>
    <s v="Recovered"/>
  </r>
  <r>
    <n v="312"/>
    <n v="27"/>
    <x v="4"/>
    <s v="Female"/>
    <d v="2024-04-17T00:00:00"/>
    <s v="April"/>
    <s v="Internal Medicine"/>
    <x v="1"/>
    <s v="None"/>
    <x v="0"/>
    <n v="1"/>
    <n v="413.1"/>
    <s v="Discharged"/>
  </r>
  <r>
    <n v="313"/>
    <n v="18"/>
    <x v="2"/>
    <s v="Female"/>
    <d v="2024-11-20T00:00:00"/>
    <s v="November"/>
    <s v="Outpatient"/>
    <x v="3"/>
    <s v="Azithromycin"/>
    <x v="0"/>
    <n v="10"/>
    <n v="93.99"/>
    <s v="Discharged"/>
  </r>
  <r>
    <n v="314"/>
    <n v="58"/>
    <x v="3"/>
    <s v="Female"/>
    <d v="2024-01-22T00:00:00"/>
    <s v="January"/>
    <s v="Pediatrics"/>
    <x v="0"/>
    <s v="None"/>
    <x v="0"/>
    <n v="8"/>
    <n v="263.17"/>
    <s v="Discharged"/>
  </r>
  <r>
    <n v="315"/>
    <n v="47"/>
    <x v="3"/>
    <s v="Male"/>
    <d v="2024-07-10T00:00:00"/>
    <s v="July"/>
    <s v="Emergency"/>
    <x v="0"/>
    <s v="None"/>
    <x v="0"/>
    <n v="3"/>
    <n v="335.65"/>
    <s v="Admitted"/>
  </r>
  <r>
    <n v="316"/>
    <n v="79"/>
    <x v="1"/>
    <s v="Male"/>
    <d v="2023-06-20T00:00:00"/>
    <s v="June"/>
    <s v="Pediatrics"/>
    <x v="1"/>
    <s v="None"/>
    <x v="0"/>
    <n v="5"/>
    <n v="483.54"/>
    <s v="Discharged"/>
  </r>
  <r>
    <n v="317"/>
    <n v="13"/>
    <x v="2"/>
    <s v="Female"/>
    <d v="2023-04-19T00:00:00"/>
    <s v="April"/>
    <s v="Outpatient"/>
    <x v="0"/>
    <s v="None"/>
    <x v="0"/>
    <n v="8"/>
    <n v="378.49"/>
    <s v="Referred"/>
  </r>
  <r>
    <n v="318"/>
    <n v="51"/>
    <x v="3"/>
    <s v="Female"/>
    <d v="2024-04-01T00:00:00"/>
    <s v="April"/>
    <s v="Outpatient"/>
    <x v="4"/>
    <s v="Azithromycin"/>
    <x v="0"/>
    <n v="0"/>
    <n v="251.73"/>
    <s v="Admitted"/>
  </r>
  <r>
    <n v="319"/>
    <n v="15"/>
    <x v="2"/>
    <s v="Male"/>
    <d v="2024-03-01T00:00:00"/>
    <s v="March"/>
    <s v="Internal Medicine"/>
    <x v="0"/>
    <s v="None"/>
    <x v="0"/>
    <n v="4"/>
    <n v="184.67"/>
    <s v="Referred"/>
  </r>
  <r>
    <n v="320"/>
    <n v="45"/>
    <x v="3"/>
    <s v="Female"/>
    <d v="2024-06-17T00:00:00"/>
    <s v="June"/>
    <s v="Emergency"/>
    <x v="3"/>
    <s v="Ceftriaxone"/>
    <x v="0"/>
    <n v="7"/>
    <n v="173.08"/>
    <s v="Admitted"/>
  </r>
  <r>
    <n v="321"/>
    <n v="15"/>
    <x v="2"/>
    <s v="Male"/>
    <d v="2023-02-15T00:00:00"/>
    <s v="February"/>
    <s v="Internal Medicine"/>
    <x v="1"/>
    <s v="None"/>
    <x v="0"/>
    <n v="10"/>
    <n v="72.489999999999995"/>
    <s v="Referred"/>
  </r>
  <r>
    <n v="322"/>
    <n v="23"/>
    <x v="4"/>
    <s v="Male"/>
    <d v="2023-09-07T00:00:00"/>
    <s v="September"/>
    <s v="Internal Medicine"/>
    <x v="2"/>
    <s v="None"/>
    <x v="0"/>
    <n v="8"/>
    <n v="224.66"/>
    <s v="Discharged"/>
  </r>
  <r>
    <n v="323"/>
    <n v="81"/>
    <x v="1"/>
    <s v="Male"/>
    <d v="2023-08-26T00:00:00"/>
    <s v="August"/>
    <s v="Outpatient"/>
    <x v="3"/>
    <s v="Ceftriaxone"/>
    <x v="0"/>
    <n v="6"/>
    <n v="34.01"/>
    <s v="Referred"/>
  </r>
  <r>
    <n v="324"/>
    <n v="55"/>
    <x v="3"/>
    <s v="Female"/>
    <d v="2024-04-05T00:00:00"/>
    <s v="April"/>
    <s v="Emergency"/>
    <x v="2"/>
    <s v="None"/>
    <x v="0"/>
    <n v="3"/>
    <n v="118.78"/>
    <s v="Recovered"/>
  </r>
  <r>
    <n v="325"/>
    <n v="69"/>
    <x v="1"/>
    <s v="Male"/>
    <d v="2024-08-14T00:00:00"/>
    <s v="August"/>
    <s v="Internal Medicine"/>
    <x v="0"/>
    <s v="None"/>
    <x v="0"/>
    <n v="5"/>
    <n v="114.6"/>
    <s v="Recovered"/>
  </r>
  <r>
    <n v="326"/>
    <n v="63"/>
    <x v="1"/>
    <s v="Female"/>
    <d v="2023-09-26T00:00:00"/>
    <s v="September"/>
    <s v="Pediatrics"/>
    <x v="1"/>
    <s v="None"/>
    <x v="0"/>
    <n v="9"/>
    <n v="208.42"/>
    <s v="Recovered"/>
  </r>
  <r>
    <n v="327"/>
    <n v="59"/>
    <x v="3"/>
    <s v="Male"/>
    <d v="2023-12-23T00:00:00"/>
    <s v="December"/>
    <s v="Internal Medicine"/>
    <x v="4"/>
    <s v="None"/>
    <x v="0"/>
    <n v="9"/>
    <n v="60.68"/>
    <s v="Referred"/>
  </r>
  <r>
    <n v="328"/>
    <n v="31"/>
    <x v="4"/>
    <s v="Female"/>
    <d v="2023-11-17T00:00:00"/>
    <s v="November"/>
    <s v="Emergency"/>
    <x v="0"/>
    <s v="None"/>
    <x v="0"/>
    <n v="2"/>
    <n v="199.19"/>
    <s v="Referred"/>
  </r>
  <r>
    <n v="329"/>
    <n v="54"/>
    <x v="3"/>
    <s v="Male"/>
    <d v="2024-06-07T00:00:00"/>
    <s v="June"/>
    <s v="Pediatrics"/>
    <x v="3"/>
    <s v="Ceftriaxone"/>
    <x v="0"/>
    <n v="2"/>
    <n v="253.6"/>
    <s v="Referred"/>
  </r>
  <r>
    <n v="330"/>
    <n v="63"/>
    <x v="1"/>
    <s v="Female"/>
    <d v="2024-07-22T00:00:00"/>
    <s v="July"/>
    <s v="Outpatient"/>
    <x v="5"/>
    <s v="Ciprofloxacin"/>
    <x v="0"/>
    <n v="5"/>
    <n v="424.15"/>
    <s v="Recovered"/>
  </r>
  <r>
    <n v="331"/>
    <n v="63"/>
    <x v="1"/>
    <s v="Male"/>
    <d v="2024-01-03T00:00:00"/>
    <s v="January"/>
    <s v="Outpatient"/>
    <x v="0"/>
    <s v="None"/>
    <x v="0"/>
    <n v="6"/>
    <n v="482.64"/>
    <s v="Discharged"/>
  </r>
  <r>
    <n v="332"/>
    <n v="63"/>
    <x v="1"/>
    <s v="Female"/>
    <d v="2024-02-23T00:00:00"/>
    <s v="February"/>
    <s v="Pediatrics"/>
    <x v="1"/>
    <s v="None"/>
    <x v="0"/>
    <n v="7"/>
    <n v="100.28"/>
    <s v="Recovered"/>
  </r>
  <r>
    <n v="333"/>
    <n v="5"/>
    <x v="0"/>
    <s v="Female"/>
    <d v="2023-08-14T00:00:00"/>
    <s v="August"/>
    <s v="Outpatient"/>
    <x v="4"/>
    <s v="None"/>
    <x v="0"/>
    <n v="4"/>
    <n v="100.74"/>
    <s v="Discharged"/>
  </r>
  <r>
    <n v="334"/>
    <n v="64"/>
    <x v="1"/>
    <s v="Male"/>
    <d v="2024-08-02T00:00:00"/>
    <s v="August"/>
    <s v="Emergency"/>
    <x v="1"/>
    <s v="None"/>
    <x v="0"/>
    <n v="4"/>
    <n v="392.05"/>
    <s v="Admitted"/>
  </r>
  <r>
    <n v="335"/>
    <n v="57"/>
    <x v="3"/>
    <s v="Male"/>
    <d v="2024-07-09T00:00:00"/>
    <s v="July"/>
    <s v="Pediatrics"/>
    <x v="0"/>
    <s v="None"/>
    <x v="0"/>
    <n v="1"/>
    <n v="373.27"/>
    <s v="Referred"/>
  </r>
  <r>
    <n v="336"/>
    <n v="58"/>
    <x v="3"/>
    <s v="Female"/>
    <d v="2023-11-01T00:00:00"/>
    <s v="November"/>
    <s v="Internal Medicine"/>
    <x v="0"/>
    <s v="None"/>
    <x v="0"/>
    <n v="1"/>
    <n v="230.75"/>
    <s v="Recovered"/>
  </r>
  <r>
    <n v="337"/>
    <n v="76"/>
    <x v="1"/>
    <s v="Female"/>
    <d v="2023-08-31T00:00:00"/>
    <s v="August"/>
    <s v="Pediatrics"/>
    <x v="5"/>
    <s v="Ciprofloxacin"/>
    <x v="0"/>
    <n v="9"/>
    <n v="86.83"/>
    <s v="Referred"/>
  </r>
  <r>
    <n v="338"/>
    <n v="73"/>
    <x v="1"/>
    <s v="Female"/>
    <d v="2023-07-31T00:00:00"/>
    <s v="July"/>
    <s v="Internal Medicine"/>
    <x v="0"/>
    <s v="None"/>
    <x v="0"/>
    <n v="9"/>
    <n v="278.61"/>
    <s v="Admitted"/>
  </r>
  <r>
    <n v="339"/>
    <n v="38"/>
    <x v="3"/>
    <s v="Female"/>
    <d v="2024-12-21T00:00:00"/>
    <s v="December"/>
    <s v="Emergency"/>
    <x v="4"/>
    <s v="Ciprofloxacin"/>
    <x v="0"/>
    <n v="6"/>
    <n v="461.01"/>
    <s v="Admitted"/>
  </r>
  <r>
    <n v="340"/>
    <n v="17"/>
    <x v="2"/>
    <s v="Male"/>
    <d v="2024-11-02T00:00:00"/>
    <s v="November"/>
    <s v="Outpatient"/>
    <x v="5"/>
    <s v="Azithromycin"/>
    <x v="0"/>
    <n v="3"/>
    <n v="385.51"/>
    <s v="Discharged"/>
  </r>
  <r>
    <n v="341"/>
    <n v="74"/>
    <x v="1"/>
    <s v="Female"/>
    <d v="2024-05-16T00:00:00"/>
    <s v="May"/>
    <s v="Pediatrics"/>
    <x v="5"/>
    <s v="Ceftriaxone"/>
    <x v="0"/>
    <n v="7"/>
    <n v="56.25"/>
    <s v="Recovered"/>
  </r>
  <r>
    <n v="342"/>
    <n v="36"/>
    <x v="3"/>
    <s v="Female"/>
    <d v="2024-02-17T00:00:00"/>
    <s v="February"/>
    <s v="Pediatrics"/>
    <x v="2"/>
    <s v="None"/>
    <x v="0"/>
    <n v="7"/>
    <n v="177.1"/>
    <s v="Recovered"/>
  </r>
  <r>
    <n v="343"/>
    <n v="59"/>
    <x v="3"/>
    <s v="Female"/>
    <d v="2023-04-06T00:00:00"/>
    <s v="April"/>
    <s v="Emergency"/>
    <x v="1"/>
    <s v="None"/>
    <x v="0"/>
    <n v="8"/>
    <n v="210.9"/>
    <s v="Discharged"/>
  </r>
  <r>
    <n v="344"/>
    <n v="35"/>
    <x v="4"/>
    <s v="Female"/>
    <d v="2023-08-05T00:00:00"/>
    <s v="August"/>
    <s v="Internal Medicine"/>
    <x v="3"/>
    <s v="Azithromycin"/>
    <x v="0"/>
    <n v="8"/>
    <n v="297.41000000000003"/>
    <s v="Discharged"/>
  </r>
  <r>
    <n v="345"/>
    <n v="7"/>
    <x v="0"/>
    <s v="Male"/>
    <d v="2023-12-18T00:00:00"/>
    <s v="December"/>
    <s v="Emergency"/>
    <x v="1"/>
    <s v="None"/>
    <x v="0"/>
    <n v="10"/>
    <n v="396.27"/>
    <s v="Discharged"/>
  </r>
  <r>
    <n v="346"/>
    <n v="21"/>
    <x v="4"/>
    <s v="Female"/>
    <d v="2023-01-17T00:00:00"/>
    <s v="January"/>
    <s v="Pediatrics"/>
    <x v="0"/>
    <s v="None"/>
    <x v="0"/>
    <n v="0"/>
    <n v="496.08"/>
    <s v="Discharged"/>
  </r>
  <r>
    <n v="347"/>
    <n v="17"/>
    <x v="2"/>
    <s v="Female"/>
    <d v="2023-07-27T00:00:00"/>
    <s v="July"/>
    <s v="Outpatient"/>
    <x v="1"/>
    <s v="None"/>
    <x v="0"/>
    <n v="4"/>
    <n v="64.8"/>
    <s v="Admitted"/>
  </r>
  <r>
    <n v="348"/>
    <n v="48"/>
    <x v="3"/>
    <s v="Male"/>
    <d v="2023-09-14T00:00:00"/>
    <s v="September"/>
    <s v="Emergency"/>
    <x v="0"/>
    <s v="None"/>
    <x v="0"/>
    <n v="6"/>
    <n v="320.29000000000002"/>
    <s v="Referred"/>
  </r>
  <r>
    <n v="349"/>
    <n v="12"/>
    <x v="0"/>
    <s v="Male"/>
    <d v="2024-03-15T00:00:00"/>
    <s v="March"/>
    <s v="Emergency"/>
    <x v="1"/>
    <s v="None"/>
    <x v="0"/>
    <n v="3"/>
    <n v="248.87"/>
    <s v="Referred"/>
  </r>
  <r>
    <n v="350"/>
    <n v="67"/>
    <x v="1"/>
    <s v="Female"/>
    <d v="2024-08-30T00:00:00"/>
    <s v="August"/>
    <s v="Emergency"/>
    <x v="5"/>
    <s v="Amoxicillin"/>
    <x v="0"/>
    <n v="5"/>
    <n v="412.21"/>
    <s v="Discharged"/>
  </r>
  <r>
    <n v="351"/>
    <n v="62"/>
    <x v="1"/>
    <s v="Male"/>
    <d v="2024-12-11T00:00:00"/>
    <s v="December"/>
    <s v="Outpatient"/>
    <x v="5"/>
    <s v="Ceftriaxone"/>
    <x v="0"/>
    <n v="1"/>
    <n v="370.77"/>
    <s v="Recovered"/>
  </r>
  <r>
    <n v="352"/>
    <n v="48"/>
    <x v="3"/>
    <s v="Female"/>
    <d v="2023-04-16T00:00:00"/>
    <s v="April"/>
    <s v="Outpatient"/>
    <x v="4"/>
    <s v="Ceftriaxone"/>
    <x v="0"/>
    <n v="2"/>
    <n v="327.96"/>
    <s v="Referred"/>
  </r>
  <r>
    <n v="353"/>
    <n v="73"/>
    <x v="1"/>
    <s v="Male"/>
    <d v="2023-03-12T00:00:00"/>
    <s v="March"/>
    <s v="Outpatient"/>
    <x v="2"/>
    <s v="None"/>
    <x v="0"/>
    <n v="7"/>
    <n v="188.57"/>
    <s v="Referred"/>
  </r>
  <r>
    <n v="354"/>
    <n v="20"/>
    <x v="4"/>
    <s v="Female"/>
    <d v="2024-10-05T00:00:00"/>
    <s v="October"/>
    <s v="Pediatrics"/>
    <x v="1"/>
    <s v="None"/>
    <x v="0"/>
    <n v="3"/>
    <n v="61.61"/>
    <s v="Recovered"/>
  </r>
  <r>
    <n v="355"/>
    <n v="76"/>
    <x v="1"/>
    <s v="Female"/>
    <d v="2023-05-24T00:00:00"/>
    <s v="May"/>
    <s v="Internal Medicine"/>
    <x v="0"/>
    <s v="None"/>
    <x v="0"/>
    <n v="6"/>
    <n v="170.96"/>
    <s v="Referred"/>
  </r>
  <r>
    <n v="356"/>
    <n v="83"/>
    <x v="1"/>
    <s v="Male"/>
    <d v="2023-09-11T00:00:00"/>
    <s v="September"/>
    <s v="Outpatient"/>
    <x v="4"/>
    <s v="None"/>
    <x v="0"/>
    <n v="9"/>
    <n v="308"/>
    <s v="Admitted"/>
  </r>
  <r>
    <n v="357"/>
    <n v="85"/>
    <x v="1"/>
    <s v="Female"/>
    <d v="2024-12-08T00:00:00"/>
    <s v="December"/>
    <s v="Outpatient"/>
    <x v="0"/>
    <s v="None"/>
    <x v="0"/>
    <n v="8"/>
    <n v="311.32"/>
    <s v="Referred"/>
  </r>
  <r>
    <n v="358"/>
    <n v="83"/>
    <x v="1"/>
    <s v="Male"/>
    <d v="2024-02-06T00:00:00"/>
    <s v="February"/>
    <s v="Outpatient"/>
    <x v="4"/>
    <s v="Ceftriaxone"/>
    <x v="0"/>
    <n v="6"/>
    <n v="74.12"/>
    <s v="Discharged"/>
  </r>
  <r>
    <n v="359"/>
    <n v="10"/>
    <x v="0"/>
    <s v="Male"/>
    <d v="2024-10-15T00:00:00"/>
    <s v="October"/>
    <s v="Internal Medicine"/>
    <x v="2"/>
    <s v="None"/>
    <x v="0"/>
    <n v="5"/>
    <n v="83.35"/>
    <s v="Discharged"/>
  </r>
  <r>
    <n v="360"/>
    <n v="23"/>
    <x v="4"/>
    <s v="Female"/>
    <d v="2024-01-10T00:00:00"/>
    <s v="January"/>
    <s v="Emergency"/>
    <x v="2"/>
    <s v="None"/>
    <x v="0"/>
    <n v="0"/>
    <n v="301.93"/>
    <s v="Recovered"/>
  </r>
  <r>
    <n v="361"/>
    <n v="6"/>
    <x v="0"/>
    <s v="Male"/>
    <d v="2023-09-26T00:00:00"/>
    <s v="September"/>
    <s v="Pediatrics"/>
    <x v="5"/>
    <s v="None"/>
    <x v="0"/>
    <n v="4"/>
    <n v="321.70999999999998"/>
    <s v="Discharged"/>
  </r>
  <r>
    <n v="362"/>
    <n v="52"/>
    <x v="3"/>
    <s v="Male"/>
    <d v="2024-03-09T00:00:00"/>
    <s v="March"/>
    <s v="Outpatient"/>
    <x v="1"/>
    <s v="None"/>
    <x v="0"/>
    <n v="4"/>
    <n v="60.13"/>
    <s v="Recovered"/>
  </r>
  <r>
    <n v="363"/>
    <n v="20"/>
    <x v="4"/>
    <s v="Female"/>
    <d v="2024-06-07T00:00:00"/>
    <s v="June"/>
    <s v="Pediatrics"/>
    <x v="5"/>
    <s v="None"/>
    <x v="0"/>
    <n v="10"/>
    <n v="386.35"/>
    <s v="Recovered"/>
  </r>
  <r>
    <n v="364"/>
    <n v="56"/>
    <x v="3"/>
    <s v="Male"/>
    <d v="2023-11-14T00:00:00"/>
    <s v="November"/>
    <s v="Emergency"/>
    <x v="1"/>
    <s v="None"/>
    <x v="0"/>
    <n v="3"/>
    <n v="61.38"/>
    <s v="Discharged"/>
  </r>
  <r>
    <n v="365"/>
    <n v="79"/>
    <x v="1"/>
    <s v="Male"/>
    <d v="2023-04-29T00:00:00"/>
    <s v="April"/>
    <s v="Internal Medicine"/>
    <x v="3"/>
    <s v="Ciprofloxacin"/>
    <x v="0"/>
    <n v="1"/>
    <n v="26.08"/>
    <s v="Referred"/>
  </r>
  <r>
    <n v="366"/>
    <n v="21"/>
    <x v="4"/>
    <s v="Female"/>
    <d v="2024-12-19T00:00:00"/>
    <s v="December"/>
    <s v="Internal Medicine"/>
    <x v="0"/>
    <s v="None"/>
    <x v="0"/>
    <n v="8"/>
    <n v="268.27"/>
    <s v="Admitted"/>
  </r>
  <r>
    <n v="367"/>
    <n v="17"/>
    <x v="2"/>
    <s v="Female"/>
    <d v="2023-06-20T00:00:00"/>
    <s v="June"/>
    <s v="Emergency"/>
    <x v="4"/>
    <s v="Amoxicillin"/>
    <x v="0"/>
    <n v="5"/>
    <n v="407.41"/>
    <s v="Admitted"/>
  </r>
  <r>
    <n v="368"/>
    <n v="34"/>
    <x v="4"/>
    <s v="Male"/>
    <d v="2024-06-20T00:00:00"/>
    <s v="June"/>
    <s v="Pediatrics"/>
    <x v="0"/>
    <s v="None"/>
    <x v="0"/>
    <n v="7"/>
    <n v="265.18"/>
    <s v="Recovered"/>
  </r>
  <r>
    <n v="369"/>
    <n v="22"/>
    <x v="4"/>
    <s v="Female"/>
    <d v="2024-05-26T00:00:00"/>
    <s v="May"/>
    <s v="Outpatient"/>
    <x v="2"/>
    <s v="None"/>
    <x v="0"/>
    <n v="4"/>
    <n v="391.2"/>
    <s v="Recovered"/>
  </r>
  <r>
    <n v="370"/>
    <n v="66"/>
    <x v="1"/>
    <s v="Male"/>
    <d v="2023-08-22T00:00:00"/>
    <s v="August"/>
    <s v="Emergency"/>
    <x v="1"/>
    <s v="None"/>
    <x v="0"/>
    <n v="0"/>
    <n v="137.38"/>
    <s v="Discharged"/>
  </r>
  <r>
    <n v="371"/>
    <n v="20"/>
    <x v="4"/>
    <s v="Male"/>
    <d v="2024-01-08T00:00:00"/>
    <s v="January"/>
    <s v="Emergency"/>
    <x v="3"/>
    <s v="None"/>
    <x v="0"/>
    <n v="10"/>
    <n v="221.3"/>
    <s v="Admitted"/>
  </r>
  <r>
    <n v="372"/>
    <n v="41"/>
    <x v="3"/>
    <s v="Female"/>
    <d v="2023-09-12T00:00:00"/>
    <s v="September"/>
    <s v="Emergency"/>
    <x v="3"/>
    <s v="None"/>
    <x v="0"/>
    <n v="5"/>
    <n v="77.31"/>
    <s v="Recovered"/>
  </r>
  <r>
    <n v="373"/>
    <n v="67"/>
    <x v="1"/>
    <s v="Male"/>
    <d v="2023-07-03T00:00:00"/>
    <s v="July"/>
    <s v="Pediatrics"/>
    <x v="5"/>
    <s v="Amoxicillin"/>
    <x v="0"/>
    <n v="7"/>
    <n v="435.7"/>
    <s v="Admitted"/>
  </r>
  <r>
    <n v="374"/>
    <n v="71"/>
    <x v="1"/>
    <s v="Female"/>
    <d v="2023-12-02T00:00:00"/>
    <s v="December"/>
    <s v="Emergency"/>
    <x v="0"/>
    <s v="None"/>
    <x v="0"/>
    <n v="5"/>
    <n v="116.32"/>
    <s v="Admitted"/>
  </r>
  <r>
    <n v="375"/>
    <n v="60"/>
    <x v="1"/>
    <s v="Female"/>
    <d v="2024-09-29T00:00:00"/>
    <s v="September"/>
    <s v="Pediatrics"/>
    <x v="5"/>
    <s v="Ciprofloxacin"/>
    <x v="0"/>
    <n v="8"/>
    <n v="385.03"/>
    <s v="Referred"/>
  </r>
  <r>
    <n v="376"/>
    <n v="53"/>
    <x v="3"/>
    <s v="Male"/>
    <d v="2023-06-04T00:00:00"/>
    <s v="June"/>
    <s v="Outpatient"/>
    <x v="0"/>
    <s v="None"/>
    <x v="0"/>
    <n v="8"/>
    <n v="186.28"/>
    <s v="Recovered"/>
  </r>
  <r>
    <n v="377"/>
    <n v="85"/>
    <x v="1"/>
    <s v="Female"/>
    <d v="2023-12-10T00:00:00"/>
    <s v="December"/>
    <s v="Internal Medicine"/>
    <x v="0"/>
    <s v="None"/>
    <x v="0"/>
    <n v="1"/>
    <n v="118.49"/>
    <s v="Referred"/>
  </r>
  <r>
    <n v="378"/>
    <n v="8"/>
    <x v="0"/>
    <s v="Male"/>
    <d v="2024-03-05T00:00:00"/>
    <s v="March"/>
    <s v="Internal Medicine"/>
    <x v="3"/>
    <s v="Amoxicillin"/>
    <x v="0"/>
    <n v="0"/>
    <n v="462.21"/>
    <s v="Discharged"/>
  </r>
  <r>
    <n v="379"/>
    <n v="59"/>
    <x v="3"/>
    <s v="Male"/>
    <d v="2024-12-18T00:00:00"/>
    <s v="December"/>
    <s v="Emergency"/>
    <x v="4"/>
    <s v="None"/>
    <x v="0"/>
    <n v="2"/>
    <n v="325.86"/>
    <s v="Discharged"/>
  </r>
  <r>
    <n v="380"/>
    <n v="73"/>
    <x v="1"/>
    <s v="Male"/>
    <d v="2023-03-18T00:00:00"/>
    <s v="March"/>
    <s v="Pediatrics"/>
    <x v="2"/>
    <s v="None"/>
    <x v="0"/>
    <n v="10"/>
    <n v="482.82"/>
    <s v="Referred"/>
  </r>
  <r>
    <n v="381"/>
    <n v="41"/>
    <x v="3"/>
    <s v="Female"/>
    <d v="2023-10-26T00:00:00"/>
    <s v="October"/>
    <s v="Internal Medicine"/>
    <x v="4"/>
    <s v="Azithromycin"/>
    <x v="0"/>
    <n v="7"/>
    <n v="150.54"/>
    <s v="Recovered"/>
  </r>
  <r>
    <n v="382"/>
    <n v="75"/>
    <x v="1"/>
    <s v="Male"/>
    <d v="2023-07-27T00:00:00"/>
    <s v="July"/>
    <s v="Outpatient"/>
    <x v="5"/>
    <s v="Amoxicillin"/>
    <x v="0"/>
    <n v="2"/>
    <n v="235.79"/>
    <s v="Admitted"/>
  </r>
  <r>
    <n v="383"/>
    <n v="69"/>
    <x v="1"/>
    <s v="Female"/>
    <d v="2024-02-21T00:00:00"/>
    <s v="February"/>
    <s v="Outpatient"/>
    <x v="0"/>
    <s v="None"/>
    <x v="0"/>
    <n v="7"/>
    <n v="167.99"/>
    <s v="Admitted"/>
  </r>
  <r>
    <n v="384"/>
    <n v="21"/>
    <x v="4"/>
    <s v="Female"/>
    <d v="2023-05-03T00:00:00"/>
    <s v="May"/>
    <s v="Emergency"/>
    <x v="0"/>
    <s v="None"/>
    <x v="0"/>
    <n v="3"/>
    <n v="421.24"/>
    <s v="Admitted"/>
  </r>
  <r>
    <n v="385"/>
    <n v="32"/>
    <x v="4"/>
    <s v="Female"/>
    <d v="2023-06-01T00:00:00"/>
    <s v="June"/>
    <s v="Pediatrics"/>
    <x v="0"/>
    <s v="None"/>
    <x v="0"/>
    <n v="8"/>
    <n v="43.5"/>
    <s v="Admitted"/>
  </r>
  <r>
    <n v="386"/>
    <n v="4"/>
    <x v="0"/>
    <s v="Female"/>
    <d v="2023-09-24T00:00:00"/>
    <s v="September"/>
    <s v="Pediatrics"/>
    <x v="5"/>
    <s v="None"/>
    <x v="0"/>
    <n v="8"/>
    <n v="139.93"/>
    <s v="Discharged"/>
  </r>
  <r>
    <n v="387"/>
    <n v="16"/>
    <x v="2"/>
    <s v="Male"/>
    <d v="2023-04-15T00:00:00"/>
    <s v="April"/>
    <s v="Emergency"/>
    <x v="5"/>
    <s v="Ciprofloxacin"/>
    <x v="0"/>
    <n v="2"/>
    <n v="115.1"/>
    <s v="Discharged"/>
  </r>
  <r>
    <n v="388"/>
    <n v="81"/>
    <x v="1"/>
    <s v="Male"/>
    <d v="2024-01-17T00:00:00"/>
    <s v="January"/>
    <s v="Internal Medicine"/>
    <x v="1"/>
    <s v="None"/>
    <x v="0"/>
    <n v="1"/>
    <n v="30.46"/>
    <s v="Recovered"/>
  </r>
  <r>
    <n v="389"/>
    <n v="57"/>
    <x v="3"/>
    <s v="Male"/>
    <d v="2023-07-22T00:00:00"/>
    <s v="July"/>
    <s v="Emergency"/>
    <x v="1"/>
    <s v="None"/>
    <x v="0"/>
    <n v="5"/>
    <n v="78.81"/>
    <s v="Discharged"/>
  </r>
  <r>
    <n v="390"/>
    <n v="74"/>
    <x v="1"/>
    <s v="Female"/>
    <d v="2023-02-21T00:00:00"/>
    <s v="February"/>
    <s v="Pediatrics"/>
    <x v="5"/>
    <s v="Ceftriaxone"/>
    <x v="0"/>
    <n v="0"/>
    <n v="203.71"/>
    <s v="Discharged"/>
  </r>
  <r>
    <n v="391"/>
    <n v="28"/>
    <x v="4"/>
    <s v="Male"/>
    <d v="2023-06-26T00:00:00"/>
    <s v="June"/>
    <s v="Internal Medicine"/>
    <x v="4"/>
    <s v="Azithromycin"/>
    <x v="0"/>
    <n v="7"/>
    <n v="444.04"/>
    <s v="Recovered"/>
  </r>
  <r>
    <n v="392"/>
    <n v="79"/>
    <x v="1"/>
    <s v="Male"/>
    <d v="2024-09-20T00:00:00"/>
    <s v="September"/>
    <s v="Internal Medicine"/>
    <x v="2"/>
    <s v="None"/>
    <x v="0"/>
    <n v="7"/>
    <n v="217.76"/>
    <s v="Discharged"/>
  </r>
  <r>
    <n v="393"/>
    <n v="36"/>
    <x v="3"/>
    <s v="Female"/>
    <d v="2023-03-04T00:00:00"/>
    <s v="March"/>
    <s v="Outpatient"/>
    <x v="0"/>
    <s v="None"/>
    <x v="0"/>
    <n v="6"/>
    <n v="115.74"/>
    <s v="Referred"/>
  </r>
  <r>
    <n v="394"/>
    <n v="3"/>
    <x v="0"/>
    <s v="Female"/>
    <d v="2024-10-07T00:00:00"/>
    <s v="October"/>
    <s v="Internal Medicine"/>
    <x v="2"/>
    <s v="None"/>
    <x v="0"/>
    <n v="7"/>
    <n v="281.37"/>
    <s v="Discharged"/>
  </r>
  <r>
    <n v="395"/>
    <n v="65"/>
    <x v="1"/>
    <s v="Female"/>
    <d v="2023-12-19T00:00:00"/>
    <s v="December"/>
    <s v="Pediatrics"/>
    <x v="2"/>
    <s v="None"/>
    <x v="0"/>
    <n v="4"/>
    <n v="106.31"/>
    <s v="Admitted"/>
  </r>
  <r>
    <n v="396"/>
    <n v="4"/>
    <x v="0"/>
    <s v="Female"/>
    <d v="2024-09-03T00:00:00"/>
    <s v="September"/>
    <s v="Emergency"/>
    <x v="5"/>
    <s v="Ceftriaxone"/>
    <x v="0"/>
    <n v="8"/>
    <n v="191.57"/>
    <s v="Referred"/>
  </r>
  <r>
    <n v="397"/>
    <n v="32"/>
    <x v="4"/>
    <s v="Male"/>
    <d v="2023-06-13T00:00:00"/>
    <s v="June"/>
    <s v="Internal Medicine"/>
    <x v="0"/>
    <s v="None"/>
    <x v="0"/>
    <n v="8"/>
    <n v="411.82"/>
    <s v="Recovered"/>
  </r>
  <r>
    <n v="398"/>
    <n v="50"/>
    <x v="3"/>
    <s v="Female"/>
    <d v="2023-08-13T00:00:00"/>
    <s v="August"/>
    <s v="Outpatient"/>
    <x v="2"/>
    <s v="None"/>
    <x v="0"/>
    <n v="2"/>
    <n v="133.54"/>
    <s v="Admitted"/>
  </r>
  <r>
    <n v="399"/>
    <n v="76"/>
    <x v="1"/>
    <s v="Male"/>
    <d v="2024-12-15T00:00:00"/>
    <s v="December"/>
    <s v="Internal Medicine"/>
    <x v="4"/>
    <s v="None"/>
    <x v="0"/>
    <n v="9"/>
    <n v="88.21"/>
    <s v="Referred"/>
  </r>
  <r>
    <n v="400"/>
    <n v="40"/>
    <x v="3"/>
    <s v="Male"/>
    <d v="2024-05-19T00:00:00"/>
    <s v="May"/>
    <s v="Pediatrics"/>
    <x v="2"/>
    <s v="None"/>
    <x v="0"/>
    <n v="0"/>
    <n v="63.32"/>
    <s v="Referred"/>
  </r>
  <r>
    <n v="401"/>
    <n v="3"/>
    <x v="0"/>
    <s v="Female"/>
    <d v="2024-09-08T00:00:00"/>
    <s v="September"/>
    <s v="Emergency"/>
    <x v="5"/>
    <s v="Azithromycin"/>
    <x v="0"/>
    <n v="9"/>
    <n v="116.7"/>
    <s v="Referred"/>
  </r>
  <r>
    <n v="402"/>
    <n v="23"/>
    <x v="4"/>
    <s v="Female"/>
    <d v="2023-12-15T00:00:00"/>
    <s v="December"/>
    <s v="Emergency"/>
    <x v="1"/>
    <s v="None"/>
    <x v="0"/>
    <n v="0"/>
    <n v="90.9"/>
    <s v="Referred"/>
  </r>
  <r>
    <n v="403"/>
    <n v="47"/>
    <x v="3"/>
    <s v="Male"/>
    <d v="2023-04-24T00:00:00"/>
    <s v="April"/>
    <s v="Internal Medicine"/>
    <x v="2"/>
    <s v="None"/>
    <x v="0"/>
    <n v="10"/>
    <n v="209.89"/>
    <s v="Recovered"/>
  </r>
  <r>
    <n v="404"/>
    <n v="42"/>
    <x v="3"/>
    <s v="Male"/>
    <d v="2023-12-11T00:00:00"/>
    <s v="December"/>
    <s v="Outpatient"/>
    <x v="4"/>
    <s v="Ceftriaxone"/>
    <x v="0"/>
    <n v="10"/>
    <n v="481.12"/>
    <s v="Admitted"/>
  </r>
  <r>
    <n v="405"/>
    <n v="72"/>
    <x v="1"/>
    <s v="Female"/>
    <d v="2023-06-28T00:00:00"/>
    <s v="June"/>
    <s v="Outpatient"/>
    <x v="1"/>
    <s v="None"/>
    <x v="0"/>
    <n v="10"/>
    <n v="302.7"/>
    <s v="Referred"/>
  </r>
  <r>
    <n v="406"/>
    <n v="38"/>
    <x v="3"/>
    <s v="Male"/>
    <d v="2024-01-23T00:00:00"/>
    <s v="January"/>
    <s v="Outpatient"/>
    <x v="4"/>
    <s v="Amoxicillin"/>
    <x v="0"/>
    <n v="9"/>
    <n v="207.97"/>
    <s v="Recovered"/>
  </r>
  <r>
    <n v="407"/>
    <n v="41"/>
    <x v="3"/>
    <s v="Male"/>
    <d v="2023-07-06T00:00:00"/>
    <s v="July"/>
    <s v="Emergency"/>
    <x v="2"/>
    <s v="None"/>
    <x v="0"/>
    <n v="7"/>
    <n v="87.51"/>
    <s v="Recovered"/>
  </r>
  <r>
    <n v="408"/>
    <n v="41"/>
    <x v="3"/>
    <s v="Male"/>
    <d v="2023-09-01T00:00:00"/>
    <s v="September"/>
    <s v="Emergency"/>
    <x v="4"/>
    <s v="Azithromycin"/>
    <x v="0"/>
    <n v="7"/>
    <n v="25.47"/>
    <s v="Referred"/>
  </r>
  <r>
    <n v="409"/>
    <n v="9"/>
    <x v="0"/>
    <s v="Female"/>
    <d v="2023-09-13T00:00:00"/>
    <s v="September"/>
    <s v="Internal Medicine"/>
    <x v="1"/>
    <s v="None"/>
    <x v="0"/>
    <n v="1"/>
    <n v="365.8"/>
    <s v="Recovered"/>
  </r>
  <r>
    <n v="410"/>
    <n v="54"/>
    <x v="3"/>
    <s v="Male"/>
    <d v="2024-01-31T00:00:00"/>
    <s v="January"/>
    <s v="Pediatrics"/>
    <x v="3"/>
    <s v="Ceftriaxone"/>
    <x v="0"/>
    <n v="6"/>
    <n v="188.59"/>
    <s v="Discharged"/>
  </r>
  <r>
    <n v="411"/>
    <n v="74"/>
    <x v="1"/>
    <s v="Male"/>
    <d v="2023-04-14T00:00:00"/>
    <s v="April"/>
    <s v="Outpatient"/>
    <x v="3"/>
    <s v="Ceftriaxone"/>
    <x v="0"/>
    <n v="1"/>
    <n v="403.61"/>
    <s v="Recovered"/>
  </r>
  <r>
    <n v="412"/>
    <n v="41"/>
    <x v="3"/>
    <s v="Female"/>
    <d v="2023-10-29T00:00:00"/>
    <s v="October"/>
    <s v="Emergency"/>
    <x v="0"/>
    <s v="None"/>
    <x v="0"/>
    <n v="1"/>
    <n v="184.07"/>
    <s v="Discharged"/>
  </r>
  <r>
    <n v="413"/>
    <n v="10"/>
    <x v="0"/>
    <s v="Male"/>
    <d v="2023-06-14T00:00:00"/>
    <s v="June"/>
    <s v="Internal Medicine"/>
    <x v="1"/>
    <s v="None"/>
    <x v="0"/>
    <n v="9"/>
    <n v="492.93"/>
    <s v="Discharged"/>
  </r>
  <r>
    <n v="414"/>
    <n v="56"/>
    <x v="3"/>
    <s v="Male"/>
    <d v="2024-12-22T00:00:00"/>
    <s v="December"/>
    <s v="Pediatrics"/>
    <x v="0"/>
    <s v="None"/>
    <x v="0"/>
    <n v="2"/>
    <n v="45.71"/>
    <s v="Admitted"/>
  </r>
  <r>
    <n v="415"/>
    <n v="53"/>
    <x v="3"/>
    <s v="Female"/>
    <d v="2023-07-30T00:00:00"/>
    <s v="July"/>
    <s v="Internal Medicine"/>
    <x v="5"/>
    <s v="Azithromycin"/>
    <x v="0"/>
    <n v="3"/>
    <n v="66.040000000000006"/>
    <s v="Discharged"/>
  </r>
  <r>
    <n v="416"/>
    <n v="63"/>
    <x v="1"/>
    <s v="Male"/>
    <d v="2024-08-08T00:00:00"/>
    <s v="August"/>
    <s v="Emergency"/>
    <x v="2"/>
    <s v="None"/>
    <x v="0"/>
    <n v="5"/>
    <n v="21.83"/>
    <s v="Recovered"/>
  </r>
  <r>
    <n v="417"/>
    <n v="81"/>
    <x v="1"/>
    <s v="Female"/>
    <d v="2023-10-29T00:00:00"/>
    <s v="October"/>
    <s v="Outpatient"/>
    <x v="1"/>
    <s v="None"/>
    <x v="0"/>
    <n v="1"/>
    <n v="32.35"/>
    <s v="Referred"/>
  </r>
  <r>
    <n v="418"/>
    <n v="11"/>
    <x v="0"/>
    <s v="Female"/>
    <d v="2024-10-15T00:00:00"/>
    <s v="October"/>
    <s v="Emergency"/>
    <x v="4"/>
    <s v="Azithromycin"/>
    <x v="0"/>
    <n v="6"/>
    <n v="246.05"/>
    <s v="Admitted"/>
  </r>
  <r>
    <n v="419"/>
    <n v="70"/>
    <x v="1"/>
    <s v="Female"/>
    <d v="2023-04-04T00:00:00"/>
    <s v="April"/>
    <s v="Outpatient"/>
    <x v="1"/>
    <s v="None"/>
    <x v="0"/>
    <n v="5"/>
    <n v="445.04"/>
    <s v="Admitted"/>
  </r>
  <r>
    <n v="420"/>
    <n v="6"/>
    <x v="0"/>
    <s v="Female"/>
    <d v="2023-07-11T00:00:00"/>
    <s v="July"/>
    <s v="Pediatrics"/>
    <x v="3"/>
    <s v="Ceftriaxone"/>
    <x v="0"/>
    <n v="4"/>
    <n v="128.6"/>
    <s v="Admitted"/>
  </r>
  <r>
    <n v="421"/>
    <n v="20"/>
    <x v="4"/>
    <s v="Male"/>
    <d v="2024-07-31T00:00:00"/>
    <s v="July"/>
    <s v="Emergency"/>
    <x v="0"/>
    <s v="None"/>
    <x v="0"/>
    <n v="10"/>
    <n v="185.02"/>
    <s v="Discharged"/>
  </r>
  <r>
    <n v="422"/>
    <n v="71"/>
    <x v="1"/>
    <s v="Male"/>
    <d v="2024-08-26T00:00:00"/>
    <s v="August"/>
    <s v="Pediatrics"/>
    <x v="5"/>
    <s v="None"/>
    <x v="0"/>
    <n v="6"/>
    <n v="483.5"/>
    <s v="Discharged"/>
  </r>
  <r>
    <n v="423"/>
    <n v="61"/>
    <x v="1"/>
    <s v="Female"/>
    <d v="2024-08-09T00:00:00"/>
    <s v="August"/>
    <s v="Emergency"/>
    <x v="5"/>
    <s v="Ceftriaxone"/>
    <x v="0"/>
    <n v="0"/>
    <n v="261.01"/>
    <s v="Referred"/>
  </r>
  <r>
    <n v="424"/>
    <n v="23"/>
    <x v="4"/>
    <s v="Male"/>
    <d v="2023-05-04T00:00:00"/>
    <s v="May"/>
    <s v="Outpatient"/>
    <x v="3"/>
    <s v="Ciprofloxacin"/>
    <x v="0"/>
    <n v="2"/>
    <n v="40.479999999999997"/>
    <s v="Recovered"/>
  </r>
  <r>
    <n v="425"/>
    <n v="26"/>
    <x v="4"/>
    <s v="Male"/>
    <d v="2024-11-30T00:00:00"/>
    <s v="November"/>
    <s v="Internal Medicine"/>
    <x v="3"/>
    <s v="Azithromycin"/>
    <x v="0"/>
    <n v="1"/>
    <n v="61.77"/>
    <s v="Discharged"/>
  </r>
  <r>
    <n v="426"/>
    <n v="36"/>
    <x v="3"/>
    <s v="Female"/>
    <d v="2024-07-19T00:00:00"/>
    <s v="July"/>
    <s v="Emergency"/>
    <x v="4"/>
    <s v="None"/>
    <x v="0"/>
    <n v="9"/>
    <n v="270.83"/>
    <s v="Discharged"/>
  </r>
  <r>
    <n v="427"/>
    <n v="20"/>
    <x v="4"/>
    <s v="Male"/>
    <d v="2023-04-26T00:00:00"/>
    <s v="April"/>
    <s v="Emergency"/>
    <x v="3"/>
    <s v="Amoxicillin"/>
    <x v="0"/>
    <n v="9"/>
    <n v="394.18"/>
    <s v="Admitted"/>
  </r>
  <r>
    <n v="428"/>
    <n v="53"/>
    <x v="3"/>
    <s v="Female"/>
    <d v="2024-07-02T00:00:00"/>
    <s v="July"/>
    <s v="Pediatrics"/>
    <x v="4"/>
    <s v="Ceftriaxone"/>
    <x v="0"/>
    <n v="9"/>
    <n v="312.3"/>
    <s v="Recovered"/>
  </r>
  <r>
    <n v="429"/>
    <n v="52"/>
    <x v="3"/>
    <s v="Male"/>
    <d v="2023-06-26T00:00:00"/>
    <s v="June"/>
    <s v="Pediatrics"/>
    <x v="4"/>
    <s v="Amoxicillin"/>
    <x v="0"/>
    <n v="6"/>
    <n v="447"/>
    <s v="Admitted"/>
  </r>
  <r>
    <n v="430"/>
    <n v="7"/>
    <x v="0"/>
    <s v="Female"/>
    <d v="2024-12-08T00:00:00"/>
    <s v="December"/>
    <s v="Internal Medicine"/>
    <x v="5"/>
    <s v="Azithromycin"/>
    <x v="0"/>
    <n v="0"/>
    <n v="182.18"/>
    <s v="Admitted"/>
  </r>
  <r>
    <n v="431"/>
    <n v="63"/>
    <x v="1"/>
    <s v="Male"/>
    <d v="2023-11-15T00:00:00"/>
    <s v="November"/>
    <s v="Outpatient"/>
    <x v="4"/>
    <s v="Ciprofloxacin"/>
    <x v="0"/>
    <n v="4"/>
    <n v="487.63"/>
    <s v="Discharged"/>
  </r>
  <r>
    <n v="432"/>
    <n v="54"/>
    <x v="3"/>
    <s v="Male"/>
    <d v="2023-11-25T00:00:00"/>
    <s v="November"/>
    <s v="Outpatient"/>
    <x v="4"/>
    <s v="Ceftriaxone"/>
    <x v="0"/>
    <n v="3"/>
    <n v="458.45"/>
    <s v="Discharged"/>
  </r>
  <r>
    <n v="433"/>
    <n v="48"/>
    <x v="3"/>
    <s v="Male"/>
    <d v="2024-05-11T00:00:00"/>
    <s v="May"/>
    <s v="Outpatient"/>
    <x v="2"/>
    <s v="None"/>
    <x v="0"/>
    <n v="1"/>
    <n v="169.34"/>
    <s v="Discharged"/>
  </r>
  <r>
    <n v="434"/>
    <n v="73"/>
    <x v="1"/>
    <s v="Male"/>
    <d v="2023-05-19T00:00:00"/>
    <s v="May"/>
    <s v="Outpatient"/>
    <x v="2"/>
    <s v="None"/>
    <x v="0"/>
    <n v="3"/>
    <n v="440.09"/>
    <s v="Referred"/>
  </r>
  <r>
    <n v="435"/>
    <n v="5"/>
    <x v="0"/>
    <s v="Female"/>
    <d v="2023-03-01T00:00:00"/>
    <s v="March"/>
    <s v="Emergency"/>
    <x v="5"/>
    <s v="Azithromycin"/>
    <x v="0"/>
    <n v="3"/>
    <n v="151.51"/>
    <s v="Discharged"/>
  </r>
  <r>
    <n v="436"/>
    <n v="82"/>
    <x v="1"/>
    <s v="Male"/>
    <d v="2024-06-01T00:00:00"/>
    <s v="June"/>
    <s v="Emergency"/>
    <x v="3"/>
    <s v="Ciprofloxacin"/>
    <x v="0"/>
    <n v="5"/>
    <n v="254.62"/>
    <s v="Discharged"/>
  </r>
  <r>
    <n v="437"/>
    <n v="76"/>
    <x v="1"/>
    <s v="Female"/>
    <d v="2023-07-01T00:00:00"/>
    <s v="July"/>
    <s v="Internal Medicine"/>
    <x v="3"/>
    <s v="Ciprofloxacin"/>
    <x v="0"/>
    <n v="4"/>
    <n v="379.5"/>
    <s v="Recovered"/>
  </r>
  <r>
    <n v="438"/>
    <n v="50"/>
    <x v="3"/>
    <s v="Male"/>
    <d v="2023-10-19T00:00:00"/>
    <s v="October"/>
    <s v="Outpatient"/>
    <x v="0"/>
    <s v="None"/>
    <x v="0"/>
    <n v="9"/>
    <n v="394.32"/>
    <s v="Referred"/>
  </r>
  <r>
    <n v="439"/>
    <n v="29"/>
    <x v="4"/>
    <s v="Male"/>
    <d v="2023-08-15T00:00:00"/>
    <s v="August"/>
    <s v="Internal Medicine"/>
    <x v="1"/>
    <s v="None"/>
    <x v="0"/>
    <n v="10"/>
    <n v="216.56"/>
    <s v="Recovered"/>
  </r>
  <r>
    <n v="440"/>
    <n v="61"/>
    <x v="1"/>
    <s v="Male"/>
    <d v="2024-11-29T00:00:00"/>
    <s v="November"/>
    <s v="Outpatient"/>
    <x v="0"/>
    <s v="None"/>
    <x v="0"/>
    <n v="9"/>
    <n v="404.42"/>
    <s v="Referred"/>
  </r>
  <r>
    <n v="441"/>
    <n v="40"/>
    <x v="3"/>
    <s v="Female"/>
    <d v="2023-09-16T00:00:00"/>
    <s v="September"/>
    <s v="Pediatrics"/>
    <x v="2"/>
    <s v="None"/>
    <x v="0"/>
    <n v="6"/>
    <n v="428.76"/>
    <s v="Discharged"/>
  </r>
  <r>
    <n v="442"/>
    <n v="60"/>
    <x v="1"/>
    <s v="Female"/>
    <d v="2023-09-16T00:00:00"/>
    <s v="September"/>
    <s v="Pediatrics"/>
    <x v="5"/>
    <s v="None"/>
    <x v="0"/>
    <n v="1"/>
    <n v="23.53"/>
    <s v="Admitted"/>
  </r>
  <r>
    <n v="443"/>
    <n v="77"/>
    <x v="1"/>
    <s v="Female"/>
    <d v="2024-07-28T00:00:00"/>
    <s v="July"/>
    <s v="Internal Medicine"/>
    <x v="1"/>
    <s v="None"/>
    <x v="0"/>
    <n v="10"/>
    <n v="71.89"/>
    <s v="Recovered"/>
  </r>
  <r>
    <n v="444"/>
    <n v="82"/>
    <x v="1"/>
    <s v="Female"/>
    <d v="2023-12-11T00:00:00"/>
    <s v="December"/>
    <s v="Internal Medicine"/>
    <x v="4"/>
    <s v="Azithromycin"/>
    <x v="0"/>
    <n v="10"/>
    <n v="361.33"/>
    <s v="Admitted"/>
  </r>
  <r>
    <n v="445"/>
    <n v="67"/>
    <x v="1"/>
    <s v="Male"/>
    <d v="2023-07-12T00:00:00"/>
    <s v="July"/>
    <s v="Emergency"/>
    <x v="5"/>
    <s v="None"/>
    <x v="0"/>
    <n v="6"/>
    <n v="337.05"/>
    <s v="Referred"/>
  </r>
  <r>
    <n v="446"/>
    <n v="64"/>
    <x v="1"/>
    <s v="Female"/>
    <d v="2023-01-27T00:00:00"/>
    <s v="January"/>
    <s v="Internal Medicine"/>
    <x v="1"/>
    <s v="None"/>
    <x v="0"/>
    <n v="6"/>
    <n v="214.21"/>
    <s v="Recovered"/>
  </r>
  <r>
    <n v="447"/>
    <n v="74"/>
    <x v="1"/>
    <s v="Male"/>
    <d v="2024-08-20T00:00:00"/>
    <s v="August"/>
    <s v="Internal Medicine"/>
    <x v="1"/>
    <s v="None"/>
    <x v="0"/>
    <n v="3"/>
    <n v="349.43"/>
    <s v="Discharged"/>
  </r>
  <r>
    <n v="448"/>
    <n v="65"/>
    <x v="1"/>
    <s v="Female"/>
    <d v="2024-11-18T00:00:00"/>
    <s v="November"/>
    <s v="Outpatient"/>
    <x v="4"/>
    <s v="None"/>
    <x v="0"/>
    <n v="2"/>
    <n v="161.02000000000001"/>
    <s v="Discharged"/>
  </r>
  <r>
    <n v="449"/>
    <n v="34"/>
    <x v="4"/>
    <s v="Male"/>
    <d v="2023-05-12T00:00:00"/>
    <s v="May"/>
    <s v="Internal Medicine"/>
    <x v="1"/>
    <s v="None"/>
    <x v="0"/>
    <n v="10"/>
    <n v="62.86"/>
    <s v="Admitted"/>
  </r>
  <r>
    <n v="450"/>
    <n v="40"/>
    <x v="3"/>
    <s v="Female"/>
    <d v="2023-08-17T00:00:00"/>
    <s v="August"/>
    <s v="Internal Medicine"/>
    <x v="1"/>
    <s v="None"/>
    <x v="0"/>
    <n v="5"/>
    <n v="145.07"/>
    <s v="Admitted"/>
  </r>
  <r>
    <n v="451"/>
    <n v="61"/>
    <x v="1"/>
    <s v="Male"/>
    <d v="2024-04-19T00:00:00"/>
    <s v="April"/>
    <s v="Emergency"/>
    <x v="0"/>
    <s v="None"/>
    <x v="0"/>
    <n v="7"/>
    <n v="446.92"/>
    <s v="Recovered"/>
  </r>
  <r>
    <n v="452"/>
    <n v="68"/>
    <x v="1"/>
    <s v="Female"/>
    <d v="2024-11-28T00:00:00"/>
    <s v="November"/>
    <s v="Pediatrics"/>
    <x v="3"/>
    <s v="Amoxicillin"/>
    <x v="0"/>
    <n v="2"/>
    <n v="85.94"/>
    <s v="Referred"/>
  </r>
  <r>
    <n v="453"/>
    <n v="73"/>
    <x v="1"/>
    <s v="Female"/>
    <d v="2023-12-17T00:00:00"/>
    <s v="December"/>
    <s v="Outpatient"/>
    <x v="3"/>
    <s v="Azithromycin"/>
    <x v="0"/>
    <n v="2"/>
    <n v="393.89"/>
    <s v="Discharged"/>
  </r>
  <r>
    <n v="454"/>
    <n v="23"/>
    <x v="4"/>
    <s v="Female"/>
    <d v="2023-12-07T00:00:00"/>
    <s v="December"/>
    <s v="Emergency"/>
    <x v="1"/>
    <s v="None"/>
    <x v="0"/>
    <n v="0"/>
    <n v="236.99"/>
    <s v="Referred"/>
  </r>
  <r>
    <n v="455"/>
    <n v="21"/>
    <x v="4"/>
    <s v="Female"/>
    <d v="2023-06-22T00:00:00"/>
    <s v="June"/>
    <s v="Emergency"/>
    <x v="2"/>
    <s v="None"/>
    <x v="0"/>
    <n v="2"/>
    <n v="314.95"/>
    <s v="Discharged"/>
  </r>
  <r>
    <n v="456"/>
    <n v="62"/>
    <x v="1"/>
    <s v="Female"/>
    <d v="2024-02-18T00:00:00"/>
    <s v="February"/>
    <s v="Emergency"/>
    <x v="3"/>
    <s v="Amoxicillin"/>
    <x v="0"/>
    <n v="8"/>
    <n v="115.72"/>
    <s v="Admitted"/>
  </r>
  <r>
    <n v="457"/>
    <n v="68"/>
    <x v="1"/>
    <s v="Male"/>
    <d v="2023-01-15T00:00:00"/>
    <s v="January"/>
    <s v="Emergency"/>
    <x v="4"/>
    <s v="Amoxicillin"/>
    <x v="0"/>
    <n v="10"/>
    <n v="372.13"/>
    <s v="Referred"/>
  </r>
  <r>
    <n v="458"/>
    <n v="40"/>
    <x v="3"/>
    <s v="Male"/>
    <d v="2024-12-11T00:00:00"/>
    <s v="December"/>
    <s v="Emergency"/>
    <x v="4"/>
    <s v="Ceftriaxone"/>
    <x v="0"/>
    <n v="8"/>
    <n v="302.56"/>
    <s v="Referred"/>
  </r>
  <r>
    <n v="459"/>
    <n v="39"/>
    <x v="3"/>
    <s v="Female"/>
    <d v="2023-03-08T00:00:00"/>
    <s v="March"/>
    <s v="Pediatrics"/>
    <x v="0"/>
    <s v="None"/>
    <x v="0"/>
    <n v="8"/>
    <n v="306.26"/>
    <s v="Admitted"/>
  </r>
  <r>
    <n v="460"/>
    <n v="18"/>
    <x v="2"/>
    <s v="Female"/>
    <d v="2024-03-20T00:00:00"/>
    <s v="March"/>
    <s v="Pediatrics"/>
    <x v="1"/>
    <s v="None"/>
    <x v="0"/>
    <n v="5"/>
    <n v="380.06"/>
    <s v="Referred"/>
  </r>
  <r>
    <n v="461"/>
    <n v="30"/>
    <x v="4"/>
    <s v="Male"/>
    <d v="2024-02-18T00:00:00"/>
    <s v="February"/>
    <s v="Outpatient"/>
    <x v="0"/>
    <s v="None"/>
    <x v="0"/>
    <n v="3"/>
    <n v="372.36"/>
    <s v="Referred"/>
  </r>
  <r>
    <n v="462"/>
    <n v="84"/>
    <x v="1"/>
    <s v="Male"/>
    <d v="2023-05-07T00:00:00"/>
    <s v="May"/>
    <s v="Pediatrics"/>
    <x v="4"/>
    <s v="Azithromycin"/>
    <x v="0"/>
    <n v="8"/>
    <n v="319.10000000000002"/>
    <s v="Recovered"/>
  </r>
  <r>
    <n v="463"/>
    <n v="84"/>
    <x v="1"/>
    <s v="Male"/>
    <d v="2024-11-08T00:00:00"/>
    <s v="November"/>
    <s v="Emergency"/>
    <x v="0"/>
    <s v="None"/>
    <x v="0"/>
    <n v="1"/>
    <n v="220.05"/>
    <s v="Discharged"/>
  </r>
  <r>
    <n v="464"/>
    <n v="33"/>
    <x v="4"/>
    <s v="Female"/>
    <d v="2023-05-07T00:00:00"/>
    <s v="May"/>
    <s v="Outpatient"/>
    <x v="2"/>
    <s v="None"/>
    <x v="0"/>
    <n v="3"/>
    <n v="353.69"/>
    <s v="Recovered"/>
  </r>
  <r>
    <n v="465"/>
    <n v="85"/>
    <x v="1"/>
    <s v="Male"/>
    <d v="2023-11-05T00:00:00"/>
    <s v="November"/>
    <s v="Internal Medicine"/>
    <x v="3"/>
    <s v="None"/>
    <x v="0"/>
    <n v="9"/>
    <n v="356.35"/>
    <s v="Discharged"/>
  </r>
  <r>
    <n v="466"/>
    <n v="80"/>
    <x v="1"/>
    <s v="Male"/>
    <d v="2023-04-18T00:00:00"/>
    <s v="April"/>
    <s v="Internal Medicine"/>
    <x v="2"/>
    <s v="None"/>
    <x v="0"/>
    <n v="1"/>
    <n v="396.68"/>
    <s v="Discharged"/>
  </r>
  <r>
    <n v="467"/>
    <n v="26"/>
    <x v="4"/>
    <s v="Female"/>
    <d v="2023-07-23T00:00:00"/>
    <s v="July"/>
    <s v="Outpatient"/>
    <x v="2"/>
    <s v="None"/>
    <x v="0"/>
    <n v="5"/>
    <n v="357.65"/>
    <s v="Admitted"/>
  </r>
  <r>
    <n v="468"/>
    <n v="71"/>
    <x v="1"/>
    <s v="Female"/>
    <d v="2023-06-14T00:00:00"/>
    <s v="June"/>
    <s v="Outpatient"/>
    <x v="0"/>
    <s v="None"/>
    <x v="0"/>
    <n v="7"/>
    <n v="178.69"/>
    <s v="Recovered"/>
  </r>
  <r>
    <n v="469"/>
    <n v="12"/>
    <x v="0"/>
    <s v="Male"/>
    <d v="2023-01-14T00:00:00"/>
    <s v="January"/>
    <s v="Pediatrics"/>
    <x v="1"/>
    <s v="None"/>
    <x v="0"/>
    <n v="2"/>
    <n v="475.73"/>
    <s v="Recovered"/>
  </r>
  <r>
    <n v="470"/>
    <n v="83"/>
    <x v="1"/>
    <s v="Male"/>
    <d v="2023-04-14T00:00:00"/>
    <s v="April"/>
    <s v="Pediatrics"/>
    <x v="4"/>
    <s v="Azithromycin"/>
    <x v="0"/>
    <n v="4"/>
    <n v="242.85"/>
    <s v="Recovered"/>
  </r>
  <r>
    <n v="471"/>
    <n v="38"/>
    <x v="3"/>
    <s v="Female"/>
    <d v="2023-06-28T00:00:00"/>
    <s v="June"/>
    <s v="Internal Medicine"/>
    <x v="0"/>
    <s v="None"/>
    <x v="0"/>
    <n v="6"/>
    <n v="374.5"/>
    <s v="Recovered"/>
  </r>
  <r>
    <n v="472"/>
    <n v="18"/>
    <x v="2"/>
    <s v="Male"/>
    <d v="2023-02-16T00:00:00"/>
    <s v="February"/>
    <s v="Internal Medicine"/>
    <x v="0"/>
    <s v="None"/>
    <x v="0"/>
    <n v="5"/>
    <n v="449.37"/>
    <s v="Admitted"/>
  </r>
  <r>
    <n v="473"/>
    <n v="44"/>
    <x v="3"/>
    <s v="Male"/>
    <d v="2023-04-06T00:00:00"/>
    <s v="April"/>
    <s v="Emergency"/>
    <x v="4"/>
    <s v="Ceftriaxone"/>
    <x v="0"/>
    <n v="6"/>
    <n v="481.91"/>
    <s v="Admitted"/>
  </r>
  <r>
    <n v="474"/>
    <n v="62"/>
    <x v="1"/>
    <s v="Female"/>
    <d v="2024-01-30T00:00:00"/>
    <s v="January"/>
    <s v="Outpatient"/>
    <x v="1"/>
    <s v="None"/>
    <x v="0"/>
    <n v="1"/>
    <n v="83.61"/>
    <s v="Recovered"/>
  </r>
  <r>
    <n v="475"/>
    <n v="54"/>
    <x v="3"/>
    <s v="Female"/>
    <d v="2023-06-13T00:00:00"/>
    <s v="June"/>
    <s v="Pediatrics"/>
    <x v="0"/>
    <s v="None"/>
    <x v="0"/>
    <n v="2"/>
    <n v="313.44"/>
    <s v="Admitted"/>
  </r>
  <r>
    <n v="476"/>
    <n v="17"/>
    <x v="2"/>
    <s v="Female"/>
    <d v="2024-09-18T00:00:00"/>
    <s v="September"/>
    <s v="Pediatrics"/>
    <x v="0"/>
    <s v="None"/>
    <x v="0"/>
    <n v="1"/>
    <n v="446.05"/>
    <s v="Discharged"/>
  </r>
  <r>
    <n v="477"/>
    <n v="34"/>
    <x v="4"/>
    <s v="Female"/>
    <d v="2023-02-17T00:00:00"/>
    <s v="February"/>
    <s v="Emergency"/>
    <x v="0"/>
    <s v="None"/>
    <x v="0"/>
    <n v="10"/>
    <n v="271.91000000000003"/>
    <s v="Referred"/>
  </r>
  <r>
    <n v="478"/>
    <n v="67"/>
    <x v="1"/>
    <s v="Male"/>
    <d v="2024-11-16T00:00:00"/>
    <s v="November"/>
    <s v="Pediatrics"/>
    <x v="4"/>
    <s v="Ciprofloxacin"/>
    <x v="0"/>
    <n v="7"/>
    <n v="185.96"/>
    <s v="Discharged"/>
  </r>
  <r>
    <n v="479"/>
    <n v="79"/>
    <x v="1"/>
    <s v="Male"/>
    <d v="2023-06-02T00:00:00"/>
    <s v="June"/>
    <s v="Emergency"/>
    <x v="2"/>
    <s v="None"/>
    <x v="0"/>
    <n v="10"/>
    <n v="468.5"/>
    <s v="Discharged"/>
  </r>
  <r>
    <n v="480"/>
    <n v="10"/>
    <x v="0"/>
    <s v="Female"/>
    <d v="2024-05-22T00:00:00"/>
    <s v="May"/>
    <s v="Internal Medicine"/>
    <x v="5"/>
    <s v="Ciprofloxacin"/>
    <x v="0"/>
    <n v="5"/>
    <n v="485.67"/>
    <s v="Recovered"/>
  </r>
  <r>
    <n v="481"/>
    <n v="71"/>
    <x v="1"/>
    <s v="Female"/>
    <d v="2024-06-03T00:00:00"/>
    <s v="June"/>
    <s v="Pediatrics"/>
    <x v="5"/>
    <s v="Ciprofloxacin"/>
    <x v="0"/>
    <n v="1"/>
    <n v="240.37"/>
    <s v="Discharged"/>
  </r>
  <r>
    <n v="482"/>
    <n v="58"/>
    <x v="3"/>
    <s v="Female"/>
    <d v="2023-04-01T00:00:00"/>
    <s v="April"/>
    <s v="Emergency"/>
    <x v="3"/>
    <s v="Ceftriaxone"/>
    <x v="0"/>
    <n v="10"/>
    <n v="28.53"/>
    <s v="Discharged"/>
  </r>
  <r>
    <n v="483"/>
    <n v="72"/>
    <x v="1"/>
    <s v="Male"/>
    <d v="2024-02-27T00:00:00"/>
    <s v="February"/>
    <s v="Emergency"/>
    <x v="0"/>
    <s v="None"/>
    <x v="0"/>
    <n v="9"/>
    <n v="482.32"/>
    <s v="Admitted"/>
  </r>
  <r>
    <n v="484"/>
    <n v="27"/>
    <x v="4"/>
    <s v="Female"/>
    <d v="2024-06-04T00:00:00"/>
    <s v="June"/>
    <s v="Internal Medicine"/>
    <x v="2"/>
    <s v="None"/>
    <x v="0"/>
    <n v="5"/>
    <n v="416.15"/>
    <s v="Referred"/>
  </r>
  <r>
    <n v="485"/>
    <n v="72"/>
    <x v="1"/>
    <s v="Female"/>
    <d v="2024-04-10T00:00:00"/>
    <s v="April"/>
    <s v="Internal Medicine"/>
    <x v="4"/>
    <s v="Ceftriaxone"/>
    <x v="0"/>
    <n v="1"/>
    <n v="66.77"/>
    <s v="Referred"/>
  </r>
  <r>
    <n v="486"/>
    <n v="46"/>
    <x v="3"/>
    <s v="Female"/>
    <d v="2023-01-03T00:00:00"/>
    <s v="January"/>
    <s v="Internal Medicine"/>
    <x v="4"/>
    <s v="Amoxicillin"/>
    <x v="0"/>
    <n v="0"/>
    <n v="450.5"/>
    <s v="Discharged"/>
  </r>
  <r>
    <n v="487"/>
    <n v="53"/>
    <x v="3"/>
    <s v="Male"/>
    <d v="2023-05-24T00:00:00"/>
    <s v="May"/>
    <s v="Internal Medicine"/>
    <x v="1"/>
    <s v="None"/>
    <x v="0"/>
    <n v="9"/>
    <n v="114.04"/>
    <s v="Recovered"/>
  </r>
  <r>
    <n v="488"/>
    <n v="59"/>
    <x v="3"/>
    <s v="Male"/>
    <d v="2024-02-07T00:00:00"/>
    <s v="February"/>
    <s v="Internal Medicine"/>
    <x v="5"/>
    <s v="Amoxicillin"/>
    <x v="0"/>
    <n v="6"/>
    <n v="42.32"/>
    <s v="Recovered"/>
  </r>
  <r>
    <n v="489"/>
    <n v="85"/>
    <x v="1"/>
    <s v="Male"/>
    <d v="2024-04-06T00:00:00"/>
    <s v="April"/>
    <s v="Pediatrics"/>
    <x v="3"/>
    <s v="Amoxicillin"/>
    <x v="0"/>
    <n v="8"/>
    <n v="373.38"/>
    <s v="Discharged"/>
  </r>
  <r>
    <n v="490"/>
    <n v="66"/>
    <x v="1"/>
    <s v="Male"/>
    <d v="2024-08-22T00:00:00"/>
    <s v="August"/>
    <s v="Outpatient"/>
    <x v="3"/>
    <s v="Ciprofloxacin"/>
    <x v="0"/>
    <n v="1"/>
    <n v="205.95"/>
    <s v="Admitted"/>
  </r>
  <r>
    <n v="491"/>
    <n v="54"/>
    <x v="3"/>
    <s v="Male"/>
    <d v="2024-05-31T00:00:00"/>
    <s v="May"/>
    <s v="Internal Medicine"/>
    <x v="3"/>
    <s v="Ceftriaxone"/>
    <x v="0"/>
    <n v="5"/>
    <n v="485.84"/>
    <s v="Discharged"/>
  </r>
  <r>
    <n v="492"/>
    <n v="53"/>
    <x v="3"/>
    <s v="Female"/>
    <d v="2023-05-17T00:00:00"/>
    <s v="May"/>
    <s v="Internal Medicine"/>
    <x v="5"/>
    <s v="None"/>
    <x v="0"/>
    <n v="10"/>
    <n v="124.32"/>
    <s v="Referred"/>
  </r>
  <r>
    <n v="493"/>
    <n v="38"/>
    <x v="3"/>
    <s v="Female"/>
    <d v="2024-10-01T00:00:00"/>
    <s v="October"/>
    <s v="Outpatient"/>
    <x v="1"/>
    <s v="None"/>
    <x v="0"/>
    <n v="10"/>
    <n v="488.09"/>
    <s v="Referred"/>
  </r>
  <r>
    <n v="494"/>
    <n v="82"/>
    <x v="1"/>
    <s v="Female"/>
    <d v="2024-05-30T00:00:00"/>
    <s v="May"/>
    <s v="Emergency"/>
    <x v="2"/>
    <s v="None"/>
    <x v="0"/>
    <n v="5"/>
    <n v="289.89"/>
    <s v="Discharged"/>
  </r>
  <r>
    <n v="495"/>
    <n v="69"/>
    <x v="1"/>
    <s v="Female"/>
    <d v="2024-11-21T00:00:00"/>
    <s v="November"/>
    <s v="Pediatrics"/>
    <x v="1"/>
    <s v="None"/>
    <x v="0"/>
    <n v="0"/>
    <n v="270.91000000000003"/>
    <s v="Recovered"/>
  </r>
  <r>
    <n v="496"/>
    <n v="7"/>
    <x v="0"/>
    <s v="Male"/>
    <d v="2024-01-26T00:00:00"/>
    <s v="January"/>
    <s v="Outpatient"/>
    <x v="5"/>
    <s v="Azithromycin"/>
    <x v="0"/>
    <n v="2"/>
    <n v="492.1"/>
    <s v="Admitted"/>
  </r>
  <r>
    <n v="497"/>
    <n v="38"/>
    <x v="3"/>
    <s v="Male"/>
    <d v="2023-05-30T00:00:00"/>
    <s v="May"/>
    <s v="Emergency"/>
    <x v="0"/>
    <s v="None"/>
    <x v="0"/>
    <n v="5"/>
    <n v="410.73"/>
    <s v="Recovered"/>
  </r>
  <r>
    <n v="498"/>
    <n v="72"/>
    <x v="1"/>
    <s v="Male"/>
    <d v="2024-09-22T00:00:00"/>
    <s v="September"/>
    <s v="Pediatrics"/>
    <x v="1"/>
    <s v="None"/>
    <x v="0"/>
    <n v="3"/>
    <n v="265.24"/>
    <s v="Admitted"/>
  </r>
  <r>
    <n v="499"/>
    <n v="7"/>
    <x v="0"/>
    <s v="Female"/>
    <d v="2024-12-10T00:00:00"/>
    <s v="December"/>
    <s v="Pediatrics"/>
    <x v="1"/>
    <s v="None"/>
    <x v="0"/>
    <n v="6"/>
    <n v="479.22"/>
    <s v="Admitted"/>
  </r>
  <r>
    <n v="500"/>
    <n v="2"/>
    <x v="0"/>
    <s v="Female"/>
    <d v="2024-07-19T00:00:00"/>
    <s v="July"/>
    <s v="Outpatient"/>
    <x v="0"/>
    <s v="None"/>
    <x v="0"/>
    <n v="9"/>
    <n v="437.05"/>
    <s v="Discharged"/>
  </r>
  <r>
    <n v="501"/>
    <n v="83"/>
    <x v="1"/>
    <s v="Female"/>
    <d v="2023-08-19T00:00:00"/>
    <s v="August"/>
    <s v="Outpatient"/>
    <x v="1"/>
    <s v="None"/>
    <x v="0"/>
    <n v="3"/>
    <n v="161.21"/>
    <s v="Referred"/>
  </r>
  <r>
    <n v="502"/>
    <n v="24"/>
    <x v="4"/>
    <s v="Male"/>
    <d v="2024-11-30T00:00:00"/>
    <s v="November"/>
    <s v="Emergency"/>
    <x v="0"/>
    <s v="None"/>
    <x v="0"/>
    <n v="6"/>
    <n v="39.5"/>
    <s v="Admitted"/>
  </r>
  <r>
    <n v="503"/>
    <n v="17"/>
    <x v="2"/>
    <s v="Male"/>
    <d v="2024-07-23T00:00:00"/>
    <s v="July"/>
    <s v="Internal Medicine"/>
    <x v="4"/>
    <s v="Amoxicillin"/>
    <x v="0"/>
    <n v="5"/>
    <n v="243.84"/>
    <s v="Referred"/>
  </r>
  <r>
    <n v="504"/>
    <n v="42"/>
    <x v="3"/>
    <s v="Male"/>
    <d v="2023-02-10T00:00:00"/>
    <s v="February"/>
    <s v="Internal Medicine"/>
    <x v="5"/>
    <s v="Ceftriaxone"/>
    <x v="0"/>
    <n v="9"/>
    <n v="284.08"/>
    <s v="Recovered"/>
  </r>
  <r>
    <n v="505"/>
    <n v="68"/>
    <x v="1"/>
    <s v="Male"/>
    <d v="2024-12-25T00:00:00"/>
    <s v="December"/>
    <s v="Outpatient"/>
    <x v="4"/>
    <s v="None"/>
    <x v="0"/>
    <n v="1"/>
    <n v="397.4"/>
    <s v="Referred"/>
  </r>
  <r>
    <n v="506"/>
    <n v="69"/>
    <x v="1"/>
    <s v="Female"/>
    <d v="2024-03-01T00:00:00"/>
    <s v="March"/>
    <s v="Emergency"/>
    <x v="2"/>
    <s v="None"/>
    <x v="0"/>
    <n v="5"/>
    <n v="126.18"/>
    <s v="Referred"/>
  </r>
  <r>
    <n v="507"/>
    <n v="43"/>
    <x v="3"/>
    <s v="Female"/>
    <d v="2024-11-10T00:00:00"/>
    <s v="November"/>
    <s v="Internal Medicine"/>
    <x v="4"/>
    <s v="Ciprofloxacin"/>
    <x v="0"/>
    <n v="9"/>
    <n v="274.64"/>
    <s v="Recovered"/>
  </r>
  <r>
    <n v="508"/>
    <n v="45"/>
    <x v="3"/>
    <s v="Female"/>
    <d v="2023-04-28T00:00:00"/>
    <s v="April"/>
    <s v="Outpatient"/>
    <x v="1"/>
    <s v="None"/>
    <x v="0"/>
    <n v="10"/>
    <n v="314.58"/>
    <s v="Referred"/>
  </r>
  <r>
    <n v="509"/>
    <n v="42"/>
    <x v="3"/>
    <s v="Female"/>
    <d v="2023-02-10T00:00:00"/>
    <s v="February"/>
    <s v="Emergency"/>
    <x v="1"/>
    <s v="None"/>
    <x v="0"/>
    <n v="6"/>
    <n v="143.16"/>
    <s v="Admitted"/>
  </r>
  <r>
    <n v="510"/>
    <n v="48"/>
    <x v="3"/>
    <s v="Female"/>
    <d v="2023-01-26T00:00:00"/>
    <s v="January"/>
    <s v="Pediatrics"/>
    <x v="2"/>
    <s v="None"/>
    <x v="0"/>
    <n v="0"/>
    <n v="162.29"/>
    <s v="Referred"/>
  </r>
  <r>
    <n v="511"/>
    <n v="11"/>
    <x v="0"/>
    <s v="Male"/>
    <d v="2023-11-25T00:00:00"/>
    <s v="November"/>
    <s v="Outpatient"/>
    <x v="2"/>
    <s v="None"/>
    <x v="0"/>
    <n v="8"/>
    <n v="275.94"/>
    <s v="Recovered"/>
  </r>
  <r>
    <n v="512"/>
    <n v="81"/>
    <x v="1"/>
    <s v="Male"/>
    <d v="2023-08-04T00:00:00"/>
    <s v="August"/>
    <s v="Pediatrics"/>
    <x v="1"/>
    <s v="None"/>
    <x v="0"/>
    <n v="1"/>
    <n v="118.68"/>
    <s v="Discharged"/>
  </r>
  <r>
    <n v="513"/>
    <n v="20"/>
    <x v="4"/>
    <s v="Male"/>
    <d v="2024-10-24T00:00:00"/>
    <s v="October"/>
    <s v="Pediatrics"/>
    <x v="0"/>
    <s v="None"/>
    <x v="0"/>
    <n v="5"/>
    <n v="38.19"/>
    <s v="Recovered"/>
  </r>
  <r>
    <n v="514"/>
    <n v="33"/>
    <x v="4"/>
    <s v="Male"/>
    <d v="2023-02-25T00:00:00"/>
    <s v="February"/>
    <s v="Outpatient"/>
    <x v="5"/>
    <s v="Azithromycin"/>
    <x v="0"/>
    <n v="6"/>
    <n v="206.26"/>
    <s v="Discharged"/>
  </r>
  <r>
    <n v="515"/>
    <n v="3"/>
    <x v="0"/>
    <s v="Female"/>
    <d v="2024-03-19T00:00:00"/>
    <s v="March"/>
    <s v="Emergency"/>
    <x v="4"/>
    <s v="None"/>
    <x v="0"/>
    <n v="0"/>
    <n v="327.88"/>
    <s v="Recovered"/>
  </r>
  <r>
    <n v="516"/>
    <n v="10"/>
    <x v="0"/>
    <s v="Female"/>
    <d v="2024-08-22T00:00:00"/>
    <s v="August"/>
    <s v="Emergency"/>
    <x v="0"/>
    <s v="None"/>
    <x v="0"/>
    <n v="4"/>
    <n v="397.71"/>
    <s v="Admitted"/>
  </r>
  <r>
    <n v="517"/>
    <n v="37"/>
    <x v="3"/>
    <s v="Female"/>
    <d v="2024-09-13T00:00:00"/>
    <s v="September"/>
    <s v="Pediatrics"/>
    <x v="0"/>
    <s v="None"/>
    <x v="0"/>
    <n v="6"/>
    <n v="414.62"/>
    <s v="Recovered"/>
  </r>
  <r>
    <n v="518"/>
    <n v="69"/>
    <x v="1"/>
    <s v="Male"/>
    <d v="2024-04-30T00:00:00"/>
    <s v="April"/>
    <s v="Outpatient"/>
    <x v="5"/>
    <s v="Ceftriaxone"/>
    <x v="0"/>
    <n v="8"/>
    <n v="161.59"/>
    <s v="Referred"/>
  </r>
  <r>
    <n v="519"/>
    <n v="83"/>
    <x v="1"/>
    <s v="Female"/>
    <d v="2023-11-02T00:00:00"/>
    <s v="November"/>
    <s v="Emergency"/>
    <x v="1"/>
    <s v="None"/>
    <x v="0"/>
    <n v="8"/>
    <n v="439.89"/>
    <s v="Referred"/>
  </r>
  <r>
    <n v="520"/>
    <n v="1"/>
    <x v="0"/>
    <s v="Female"/>
    <d v="2023-05-07T00:00:00"/>
    <s v="May"/>
    <s v="Emergency"/>
    <x v="0"/>
    <s v="None"/>
    <x v="0"/>
    <n v="4"/>
    <n v="120.83"/>
    <s v="Admitted"/>
  </r>
  <r>
    <n v="521"/>
    <n v="83"/>
    <x v="1"/>
    <s v="Male"/>
    <d v="2023-08-05T00:00:00"/>
    <s v="August"/>
    <s v="Outpatient"/>
    <x v="3"/>
    <s v="Ciprofloxacin"/>
    <x v="0"/>
    <n v="3"/>
    <n v="316.10000000000002"/>
    <s v="Admitted"/>
  </r>
  <r>
    <n v="522"/>
    <n v="24"/>
    <x v="4"/>
    <s v="Male"/>
    <d v="2023-07-18T00:00:00"/>
    <s v="July"/>
    <s v="Pediatrics"/>
    <x v="0"/>
    <s v="None"/>
    <x v="0"/>
    <n v="10"/>
    <n v="283.83999999999997"/>
    <s v="Admitted"/>
  </r>
  <r>
    <n v="523"/>
    <n v="33"/>
    <x v="4"/>
    <s v="Male"/>
    <d v="2024-11-18T00:00:00"/>
    <s v="November"/>
    <s v="Outpatient"/>
    <x v="0"/>
    <s v="None"/>
    <x v="0"/>
    <n v="9"/>
    <n v="253.85"/>
    <s v="Admitted"/>
  </r>
  <r>
    <n v="524"/>
    <n v="84"/>
    <x v="1"/>
    <s v="Male"/>
    <d v="2024-01-01T00:00:00"/>
    <s v="January"/>
    <s v="Emergency"/>
    <x v="5"/>
    <s v="Azithromycin"/>
    <x v="0"/>
    <n v="9"/>
    <n v="53.51"/>
    <s v="Referred"/>
  </r>
  <r>
    <n v="525"/>
    <n v="58"/>
    <x v="3"/>
    <s v="Female"/>
    <d v="2023-11-22T00:00:00"/>
    <s v="November"/>
    <s v="Internal Medicine"/>
    <x v="3"/>
    <s v="None"/>
    <x v="0"/>
    <n v="2"/>
    <n v="291.45999999999998"/>
    <s v="Admitted"/>
  </r>
  <r>
    <n v="526"/>
    <n v="22"/>
    <x v="4"/>
    <s v="Male"/>
    <d v="2023-11-20T00:00:00"/>
    <s v="November"/>
    <s v="Internal Medicine"/>
    <x v="3"/>
    <s v="Ciprofloxacin"/>
    <x v="0"/>
    <n v="3"/>
    <n v="361.86"/>
    <s v="Discharged"/>
  </r>
  <r>
    <n v="527"/>
    <n v="18"/>
    <x v="2"/>
    <s v="Female"/>
    <d v="2023-10-11T00:00:00"/>
    <s v="October"/>
    <s v="Pediatrics"/>
    <x v="4"/>
    <s v="Ceftriaxone"/>
    <x v="0"/>
    <n v="7"/>
    <n v="192.2"/>
    <s v="Admitted"/>
  </r>
  <r>
    <n v="528"/>
    <n v="14"/>
    <x v="2"/>
    <s v="Male"/>
    <d v="2024-05-13T00:00:00"/>
    <s v="May"/>
    <s v="Emergency"/>
    <x v="2"/>
    <s v="None"/>
    <x v="0"/>
    <n v="4"/>
    <n v="432.18"/>
    <s v="Referred"/>
  </r>
  <r>
    <n v="529"/>
    <n v="34"/>
    <x v="4"/>
    <s v="Male"/>
    <d v="2024-07-05T00:00:00"/>
    <s v="July"/>
    <s v="Emergency"/>
    <x v="5"/>
    <s v="Amoxicillin"/>
    <x v="0"/>
    <n v="8"/>
    <n v="323.18"/>
    <s v="Discharged"/>
  </r>
  <r>
    <n v="530"/>
    <n v="5"/>
    <x v="0"/>
    <s v="Female"/>
    <d v="2024-08-27T00:00:00"/>
    <s v="August"/>
    <s v="Pediatrics"/>
    <x v="5"/>
    <s v="Ciprofloxacin"/>
    <x v="0"/>
    <n v="5"/>
    <n v="208.4"/>
    <s v="Admitted"/>
  </r>
  <r>
    <n v="531"/>
    <n v="65"/>
    <x v="1"/>
    <s v="Male"/>
    <d v="2023-05-18T00:00:00"/>
    <s v="May"/>
    <s v="Pediatrics"/>
    <x v="3"/>
    <s v="Azithromycin"/>
    <x v="0"/>
    <n v="8"/>
    <n v="25.08"/>
    <s v="Referred"/>
  </r>
  <r>
    <n v="532"/>
    <n v="22"/>
    <x v="4"/>
    <s v="Male"/>
    <d v="2024-09-20T00:00:00"/>
    <s v="September"/>
    <s v="Pediatrics"/>
    <x v="1"/>
    <s v="None"/>
    <x v="0"/>
    <n v="2"/>
    <n v="105.99"/>
    <s v="Referred"/>
  </r>
  <r>
    <n v="533"/>
    <n v="6"/>
    <x v="0"/>
    <s v="Male"/>
    <d v="2024-05-10T00:00:00"/>
    <s v="May"/>
    <s v="Pediatrics"/>
    <x v="4"/>
    <s v="Ciprofloxacin"/>
    <x v="0"/>
    <n v="1"/>
    <n v="146.88999999999999"/>
    <s v="Referred"/>
  </r>
  <r>
    <n v="534"/>
    <n v="27"/>
    <x v="4"/>
    <s v="Female"/>
    <d v="2023-02-13T00:00:00"/>
    <s v="February"/>
    <s v="Pediatrics"/>
    <x v="1"/>
    <s v="None"/>
    <x v="0"/>
    <n v="7"/>
    <n v="460.59"/>
    <s v="Recovered"/>
  </r>
  <r>
    <n v="535"/>
    <n v="42"/>
    <x v="3"/>
    <s v="Male"/>
    <d v="2023-02-10T00:00:00"/>
    <s v="February"/>
    <s v="Internal Medicine"/>
    <x v="1"/>
    <s v="None"/>
    <x v="0"/>
    <n v="4"/>
    <n v="297.74"/>
    <s v="Referred"/>
  </r>
  <r>
    <n v="536"/>
    <n v="49"/>
    <x v="3"/>
    <s v="Female"/>
    <d v="2024-01-21T00:00:00"/>
    <s v="January"/>
    <s v="Emergency"/>
    <x v="1"/>
    <s v="None"/>
    <x v="0"/>
    <n v="8"/>
    <n v="140.76"/>
    <s v="Referred"/>
  </r>
  <r>
    <n v="537"/>
    <n v="46"/>
    <x v="3"/>
    <s v="Female"/>
    <d v="2024-06-12T00:00:00"/>
    <s v="June"/>
    <s v="Pediatrics"/>
    <x v="3"/>
    <s v="Ceftriaxone"/>
    <x v="0"/>
    <n v="9"/>
    <n v="23.17"/>
    <s v="Referred"/>
  </r>
  <r>
    <n v="538"/>
    <n v="30"/>
    <x v="4"/>
    <s v="Male"/>
    <d v="2024-03-26T00:00:00"/>
    <s v="March"/>
    <s v="Internal Medicine"/>
    <x v="5"/>
    <s v="Ciprofloxacin"/>
    <x v="0"/>
    <n v="2"/>
    <n v="109.71"/>
    <s v="Admitted"/>
  </r>
  <r>
    <n v="539"/>
    <n v="16"/>
    <x v="2"/>
    <s v="Male"/>
    <d v="2024-09-08T00:00:00"/>
    <s v="September"/>
    <s v="Pediatrics"/>
    <x v="1"/>
    <s v="None"/>
    <x v="0"/>
    <n v="5"/>
    <n v="365.72"/>
    <s v="Discharged"/>
  </r>
  <r>
    <n v="540"/>
    <n v="62"/>
    <x v="1"/>
    <s v="Male"/>
    <d v="2024-11-22T00:00:00"/>
    <s v="November"/>
    <s v="Outpatient"/>
    <x v="3"/>
    <s v="Ceftriaxone"/>
    <x v="0"/>
    <n v="0"/>
    <n v="136.96"/>
    <s v="Referred"/>
  </r>
  <r>
    <n v="541"/>
    <n v="21"/>
    <x v="4"/>
    <s v="Male"/>
    <d v="2024-08-10T00:00:00"/>
    <s v="August"/>
    <s v="Emergency"/>
    <x v="2"/>
    <s v="None"/>
    <x v="0"/>
    <n v="9"/>
    <n v="90.5"/>
    <s v="Referred"/>
  </r>
  <r>
    <n v="542"/>
    <n v="67"/>
    <x v="1"/>
    <s v="Female"/>
    <d v="2023-09-22T00:00:00"/>
    <s v="September"/>
    <s v="Emergency"/>
    <x v="5"/>
    <s v="Azithromycin"/>
    <x v="0"/>
    <n v="1"/>
    <n v="123.96"/>
    <s v="Discharged"/>
  </r>
  <r>
    <n v="543"/>
    <n v="29"/>
    <x v="4"/>
    <s v="Female"/>
    <d v="2024-05-08T00:00:00"/>
    <s v="May"/>
    <s v="Outpatient"/>
    <x v="5"/>
    <s v="None"/>
    <x v="0"/>
    <n v="2"/>
    <n v="319.14"/>
    <s v="Admitted"/>
  </r>
  <r>
    <n v="544"/>
    <n v="44"/>
    <x v="3"/>
    <s v="Female"/>
    <d v="2023-06-21T00:00:00"/>
    <s v="June"/>
    <s v="Emergency"/>
    <x v="1"/>
    <s v="None"/>
    <x v="0"/>
    <n v="3"/>
    <n v="201.54"/>
    <s v="Referred"/>
  </r>
  <r>
    <n v="545"/>
    <n v="26"/>
    <x v="4"/>
    <s v="Female"/>
    <d v="2023-04-22T00:00:00"/>
    <s v="April"/>
    <s v="Outpatient"/>
    <x v="0"/>
    <s v="None"/>
    <x v="0"/>
    <n v="9"/>
    <n v="66.22"/>
    <s v="Discharged"/>
  </r>
  <r>
    <n v="546"/>
    <n v="5"/>
    <x v="0"/>
    <s v="Male"/>
    <d v="2024-09-21T00:00:00"/>
    <s v="September"/>
    <s v="Emergency"/>
    <x v="2"/>
    <s v="None"/>
    <x v="0"/>
    <n v="7"/>
    <n v="336.51"/>
    <s v="Recovered"/>
  </r>
  <r>
    <n v="547"/>
    <n v="56"/>
    <x v="3"/>
    <s v="Female"/>
    <d v="2024-11-25T00:00:00"/>
    <s v="November"/>
    <s v="Internal Medicine"/>
    <x v="1"/>
    <s v="None"/>
    <x v="0"/>
    <n v="0"/>
    <n v="354.87"/>
    <s v="Discharged"/>
  </r>
  <r>
    <n v="548"/>
    <n v="49"/>
    <x v="3"/>
    <s v="Female"/>
    <d v="2023-08-23T00:00:00"/>
    <s v="August"/>
    <s v="Emergency"/>
    <x v="3"/>
    <s v="Ceftriaxone"/>
    <x v="0"/>
    <n v="2"/>
    <n v="142.16999999999999"/>
    <s v="Referred"/>
  </r>
  <r>
    <n v="549"/>
    <n v="77"/>
    <x v="1"/>
    <s v="Female"/>
    <d v="2023-03-27T00:00:00"/>
    <s v="March"/>
    <s v="Internal Medicine"/>
    <x v="4"/>
    <s v="Ciprofloxacin"/>
    <x v="0"/>
    <n v="0"/>
    <n v="360.39"/>
    <s v="Recovered"/>
  </r>
  <r>
    <n v="550"/>
    <n v="16"/>
    <x v="2"/>
    <s v="Male"/>
    <d v="2024-08-14T00:00:00"/>
    <s v="August"/>
    <s v="Pediatrics"/>
    <x v="2"/>
    <s v="None"/>
    <x v="0"/>
    <n v="10"/>
    <n v="118.6"/>
    <s v="Admitted"/>
  </r>
  <r>
    <n v="551"/>
    <n v="14"/>
    <x v="2"/>
    <s v="Male"/>
    <d v="2024-02-23T00:00:00"/>
    <s v="February"/>
    <s v="Pediatrics"/>
    <x v="4"/>
    <s v="None"/>
    <x v="0"/>
    <n v="4"/>
    <n v="145.43"/>
    <s v="Discharged"/>
  </r>
  <r>
    <n v="552"/>
    <n v="79"/>
    <x v="1"/>
    <s v="Female"/>
    <d v="2024-08-01T00:00:00"/>
    <s v="August"/>
    <s v="Pediatrics"/>
    <x v="4"/>
    <s v="Ciprofloxacin"/>
    <x v="0"/>
    <n v="6"/>
    <n v="285.01"/>
    <s v="Discharged"/>
  </r>
  <r>
    <n v="553"/>
    <n v="72"/>
    <x v="1"/>
    <s v="Female"/>
    <d v="2023-07-03T00:00:00"/>
    <s v="July"/>
    <s v="Internal Medicine"/>
    <x v="4"/>
    <s v="Azithromycin"/>
    <x v="0"/>
    <n v="9"/>
    <n v="185.29"/>
    <s v="Discharged"/>
  </r>
  <r>
    <n v="554"/>
    <n v="16"/>
    <x v="2"/>
    <s v="Male"/>
    <d v="2023-05-22T00:00:00"/>
    <s v="May"/>
    <s v="Pediatrics"/>
    <x v="1"/>
    <s v="None"/>
    <x v="0"/>
    <n v="2"/>
    <n v="68.13"/>
    <s v="Discharged"/>
  </r>
  <r>
    <n v="555"/>
    <n v="79"/>
    <x v="1"/>
    <s v="Male"/>
    <d v="2023-12-13T00:00:00"/>
    <s v="December"/>
    <s v="Outpatient"/>
    <x v="2"/>
    <s v="None"/>
    <x v="0"/>
    <n v="6"/>
    <n v="482.99"/>
    <s v="Recovered"/>
  </r>
  <r>
    <n v="556"/>
    <n v="61"/>
    <x v="1"/>
    <s v="Female"/>
    <d v="2023-04-04T00:00:00"/>
    <s v="April"/>
    <s v="Emergency"/>
    <x v="5"/>
    <s v="Amoxicillin"/>
    <x v="0"/>
    <n v="4"/>
    <n v="126.45"/>
    <s v="Recovered"/>
  </r>
  <r>
    <n v="557"/>
    <n v="50"/>
    <x v="3"/>
    <s v="Female"/>
    <d v="2024-09-15T00:00:00"/>
    <s v="September"/>
    <s v="Internal Medicine"/>
    <x v="0"/>
    <s v="None"/>
    <x v="0"/>
    <n v="9"/>
    <n v="47.58"/>
    <s v="Referred"/>
  </r>
  <r>
    <n v="558"/>
    <n v="57"/>
    <x v="3"/>
    <s v="Male"/>
    <d v="2024-10-17T00:00:00"/>
    <s v="October"/>
    <s v="Outpatient"/>
    <x v="3"/>
    <s v="None"/>
    <x v="0"/>
    <n v="4"/>
    <n v="113.48"/>
    <s v="Referred"/>
  </r>
  <r>
    <n v="559"/>
    <n v="5"/>
    <x v="0"/>
    <s v="Female"/>
    <d v="2024-09-21T00:00:00"/>
    <s v="September"/>
    <s v="Outpatient"/>
    <x v="5"/>
    <s v="Amoxicillin"/>
    <x v="0"/>
    <n v="2"/>
    <n v="61.68"/>
    <s v="Admitted"/>
  </r>
  <r>
    <n v="560"/>
    <n v="51"/>
    <x v="3"/>
    <s v="Female"/>
    <d v="2024-02-14T00:00:00"/>
    <s v="February"/>
    <s v="Outpatient"/>
    <x v="4"/>
    <s v="None"/>
    <x v="0"/>
    <n v="0"/>
    <n v="373.72"/>
    <s v="Recovered"/>
  </r>
  <r>
    <n v="561"/>
    <n v="37"/>
    <x v="3"/>
    <s v="Female"/>
    <d v="2023-04-03T00:00:00"/>
    <s v="April"/>
    <s v="Internal Medicine"/>
    <x v="2"/>
    <s v="None"/>
    <x v="0"/>
    <n v="4"/>
    <n v="128.62"/>
    <s v="Referred"/>
  </r>
  <r>
    <n v="562"/>
    <n v="74"/>
    <x v="1"/>
    <s v="Male"/>
    <d v="2024-04-10T00:00:00"/>
    <s v="April"/>
    <s v="Internal Medicine"/>
    <x v="3"/>
    <s v="Ciprofloxacin"/>
    <x v="0"/>
    <n v="6"/>
    <n v="262.99"/>
    <s v="Recovered"/>
  </r>
  <r>
    <n v="563"/>
    <n v="44"/>
    <x v="3"/>
    <s v="Male"/>
    <d v="2024-05-30T00:00:00"/>
    <s v="May"/>
    <s v="Internal Medicine"/>
    <x v="4"/>
    <s v="None"/>
    <x v="0"/>
    <n v="9"/>
    <n v="140.07"/>
    <s v="Discharged"/>
  </r>
  <r>
    <n v="564"/>
    <n v="62"/>
    <x v="1"/>
    <s v="Male"/>
    <d v="2024-01-22T00:00:00"/>
    <s v="January"/>
    <s v="Internal Medicine"/>
    <x v="2"/>
    <s v="None"/>
    <x v="0"/>
    <n v="7"/>
    <n v="347.17"/>
    <s v="Recovered"/>
  </r>
  <r>
    <n v="565"/>
    <n v="34"/>
    <x v="4"/>
    <s v="Male"/>
    <d v="2024-05-08T00:00:00"/>
    <s v="May"/>
    <s v="Pediatrics"/>
    <x v="0"/>
    <s v="None"/>
    <x v="0"/>
    <n v="10"/>
    <n v="398.55"/>
    <s v="Referred"/>
  </r>
  <r>
    <n v="566"/>
    <n v="30"/>
    <x v="4"/>
    <s v="Female"/>
    <d v="2024-11-24T00:00:00"/>
    <s v="November"/>
    <s v="Pediatrics"/>
    <x v="1"/>
    <s v="None"/>
    <x v="0"/>
    <n v="5"/>
    <n v="267.92"/>
    <s v="Recovered"/>
  </r>
  <r>
    <n v="567"/>
    <n v="32"/>
    <x v="4"/>
    <s v="Female"/>
    <d v="2024-12-18T00:00:00"/>
    <s v="December"/>
    <s v="Emergency"/>
    <x v="4"/>
    <s v="Ceftriaxone"/>
    <x v="0"/>
    <n v="10"/>
    <n v="379.42"/>
    <s v="Admitted"/>
  </r>
  <r>
    <n v="568"/>
    <n v="23"/>
    <x v="4"/>
    <s v="Female"/>
    <d v="2023-03-19T00:00:00"/>
    <s v="March"/>
    <s v="Internal Medicine"/>
    <x v="2"/>
    <s v="None"/>
    <x v="0"/>
    <n v="5"/>
    <n v="124.91"/>
    <s v="Admitted"/>
  </r>
  <r>
    <n v="569"/>
    <n v="25"/>
    <x v="4"/>
    <s v="Female"/>
    <d v="2023-07-07T00:00:00"/>
    <s v="July"/>
    <s v="Outpatient"/>
    <x v="1"/>
    <s v="None"/>
    <x v="0"/>
    <n v="3"/>
    <n v="373.01"/>
    <s v="Admitted"/>
  </r>
  <r>
    <n v="570"/>
    <n v="26"/>
    <x v="4"/>
    <s v="Male"/>
    <d v="2023-07-31T00:00:00"/>
    <s v="July"/>
    <s v="Internal Medicine"/>
    <x v="5"/>
    <s v="Ciprofloxacin"/>
    <x v="0"/>
    <n v="1"/>
    <n v="77.540000000000006"/>
    <s v="Recovered"/>
  </r>
  <r>
    <n v="571"/>
    <n v="64"/>
    <x v="1"/>
    <s v="Male"/>
    <d v="2024-11-23T00:00:00"/>
    <s v="November"/>
    <s v="Emergency"/>
    <x v="1"/>
    <s v="None"/>
    <x v="0"/>
    <n v="7"/>
    <n v="198.17"/>
    <s v="Admitted"/>
  </r>
  <r>
    <n v="572"/>
    <n v="36"/>
    <x v="3"/>
    <s v="Female"/>
    <d v="2024-05-19T00:00:00"/>
    <s v="May"/>
    <s v="Outpatient"/>
    <x v="2"/>
    <s v="None"/>
    <x v="0"/>
    <n v="8"/>
    <n v="154.53"/>
    <s v="Referred"/>
  </r>
  <r>
    <n v="573"/>
    <n v="7"/>
    <x v="0"/>
    <s v="Female"/>
    <d v="2024-08-13T00:00:00"/>
    <s v="August"/>
    <s v="Pediatrics"/>
    <x v="5"/>
    <s v="None"/>
    <x v="0"/>
    <n v="0"/>
    <n v="261.19"/>
    <s v="Discharged"/>
  </r>
  <r>
    <n v="574"/>
    <n v="59"/>
    <x v="3"/>
    <s v="Male"/>
    <d v="2024-12-03T00:00:00"/>
    <s v="December"/>
    <s v="Pediatrics"/>
    <x v="5"/>
    <s v="Azithromycin"/>
    <x v="0"/>
    <n v="0"/>
    <n v="25.67"/>
    <s v="Referred"/>
  </r>
  <r>
    <n v="575"/>
    <n v="13"/>
    <x v="2"/>
    <s v="Female"/>
    <d v="2024-01-24T00:00:00"/>
    <s v="January"/>
    <s v="Internal Medicine"/>
    <x v="2"/>
    <s v="None"/>
    <x v="0"/>
    <n v="9"/>
    <n v="433.68"/>
    <s v="Referred"/>
  </r>
  <r>
    <n v="576"/>
    <n v="31"/>
    <x v="4"/>
    <s v="Female"/>
    <d v="2024-07-15T00:00:00"/>
    <s v="July"/>
    <s v="Pediatrics"/>
    <x v="4"/>
    <s v="None"/>
    <x v="0"/>
    <n v="5"/>
    <n v="195.64"/>
    <s v="Discharged"/>
  </r>
  <r>
    <n v="577"/>
    <n v="54"/>
    <x v="3"/>
    <s v="Female"/>
    <d v="2024-03-10T00:00:00"/>
    <s v="March"/>
    <s v="Internal Medicine"/>
    <x v="5"/>
    <s v="Ceftriaxone"/>
    <x v="0"/>
    <n v="4"/>
    <n v="236.35"/>
    <s v="Referred"/>
  </r>
  <r>
    <n v="578"/>
    <n v="30"/>
    <x v="4"/>
    <s v="Male"/>
    <d v="2024-08-12T00:00:00"/>
    <s v="August"/>
    <s v="Internal Medicine"/>
    <x v="1"/>
    <s v="None"/>
    <x v="0"/>
    <n v="3"/>
    <n v="286.56"/>
    <s v="Discharged"/>
  </r>
  <r>
    <n v="579"/>
    <n v="20"/>
    <x v="4"/>
    <s v="Female"/>
    <d v="2023-07-20T00:00:00"/>
    <s v="July"/>
    <s v="Emergency"/>
    <x v="5"/>
    <s v="Ciprofloxacin"/>
    <x v="0"/>
    <n v="6"/>
    <n v="259.81"/>
    <s v="Admitted"/>
  </r>
  <r>
    <n v="580"/>
    <n v="33"/>
    <x v="4"/>
    <s v="Male"/>
    <d v="2024-05-13T00:00:00"/>
    <s v="May"/>
    <s v="Pediatrics"/>
    <x v="4"/>
    <s v="Amoxicillin"/>
    <x v="0"/>
    <n v="2"/>
    <n v="48.82"/>
    <s v="Admitted"/>
  </r>
  <r>
    <n v="581"/>
    <n v="13"/>
    <x v="2"/>
    <s v="Female"/>
    <d v="2024-05-02T00:00:00"/>
    <s v="May"/>
    <s v="Internal Medicine"/>
    <x v="1"/>
    <s v="None"/>
    <x v="0"/>
    <n v="4"/>
    <n v="193.26"/>
    <s v="Admitted"/>
  </r>
  <r>
    <n v="582"/>
    <n v="53"/>
    <x v="3"/>
    <s v="Male"/>
    <d v="2023-12-19T00:00:00"/>
    <s v="December"/>
    <s v="Internal Medicine"/>
    <x v="0"/>
    <s v="None"/>
    <x v="0"/>
    <n v="10"/>
    <n v="482.3"/>
    <s v="Referred"/>
  </r>
  <r>
    <n v="583"/>
    <n v="84"/>
    <x v="1"/>
    <s v="Male"/>
    <d v="2024-08-13T00:00:00"/>
    <s v="August"/>
    <s v="Internal Medicine"/>
    <x v="2"/>
    <s v="None"/>
    <x v="0"/>
    <n v="5"/>
    <n v="176.04"/>
    <s v="Discharged"/>
  </r>
  <r>
    <n v="584"/>
    <n v="49"/>
    <x v="3"/>
    <s v="Female"/>
    <d v="2024-04-02T00:00:00"/>
    <s v="April"/>
    <s v="Pediatrics"/>
    <x v="0"/>
    <s v="None"/>
    <x v="0"/>
    <n v="10"/>
    <n v="479.17"/>
    <s v="Referred"/>
  </r>
  <r>
    <n v="585"/>
    <n v="54"/>
    <x v="3"/>
    <s v="Female"/>
    <d v="2024-10-17T00:00:00"/>
    <s v="October"/>
    <s v="Emergency"/>
    <x v="4"/>
    <s v="Amoxicillin"/>
    <x v="0"/>
    <n v="2"/>
    <n v="184.94"/>
    <s v="Admitted"/>
  </r>
  <r>
    <n v="586"/>
    <n v="38"/>
    <x v="3"/>
    <s v="Female"/>
    <d v="2023-11-21T00:00:00"/>
    <s v="November"/>
    <s v="Pediatrics"/>
    <x v="1"/>
    <s v="None"/>
    <x v="0"/>
    <n v="4"/>
    <n v="446.09"/>
    <s v="Admitted"/>
  </r>
  <r>
    <n v="587"/>
    <n v="58"/>
    <x v="3"/>
    <s v="Female"/>
    <d v="2024-08-24T00:00:00"/>
    <s v="August"/>
    <s v="Outpatient"/>
    <x v="2"/>
    <s v="None"/>
    <x v="0"/>
    <n v="2"/>
    <n v="430.02"/>
    <s v="Referred"/>
  </r>
  <r>
    <n v="588"/>
    <n v="33"/>
    <x v="4"/>
    <s v="Male"/>
    <d v="2023-08-29T00:00:00"/>
    <s v="August"/>
    <s v="Outpatient"/>
    <x v="1"/>
    <s v="None"/>
    <x v="0"/>
    <n v="2"/>
    <n v="210.58"/>
    <s v="Recovered"/>
  </r>
  <r>
    <n v="589"/>
    <n v="71"/>
    <x v="1"/>
    <s v="Male"/>
    <d v="2023-03-07T00:00:00"/>
    <s v="March"/>
    <s v="Emergency"/>
    <x v="3"/>
    <s v="Ceftriaxone"/>
    <x v="0"/>
    <n v="8"/>
    <n v="387.2"/>
    <s v="Recovered"/>
  </r>
  <r>
    <n v="590"/>
    <n v="80"/>
    <x v="1"/>
    <s v="Male"/>
    <d v="2023-04-17T00:00:00"/>
    <s v="April"/>
    <s v="Emergency"/>
    <x v="4"/>
    <s v="Ceftriaxone"/>
    <x v="0"/>
    <n v="4"/>
    <n v="130.09"/>
    <s v="Admitted"/>
  </r>
  <r>
    <n v="591"/>
    <n v="17"/>
    <x v="2"/>
    <s v="Male"/>
    <d v="2024-03-29T00:00:00"/>
    <s v="March"/>
    <s v="Outpatient"/>
    <x v="1"/>
    <s v="None"/>
    <x v="0"/>
    <n v="0"/>
    <n v="36.869999999999997"/>
    <s v="Admitted"/>
  </r>
  <r>
    <n v="592"/>
    <n v="60"/>
    <x v="1"/>
    <s v="Female"/>
    <d v="2023-11-30T00:00:00"/>
    <s v="November"/>
    <s v="Pediatrics"/>
    <x v="3"/>
    <s v="Ciprofloxacin"/>
    <x v="0"/>
    <n v="8"/>
    <n v="104.98"/>
    <s v="Discharged"/>
  </r>
  <r>
    <n v="593"/>
    <n v="82"/>
    <x v="1"/>
    <s v="Female"/>
    <d v="2024-10-08T00:00:00"/>
    <s v="October"/>
    <s v="Internal Medicine"/>
    <x v="1"/>
    <s v="None"/>
    <x v="0"/>
    <n v="5"/>
    <n v="251.19"/>
    <s v="Referred"/>
  </r>
  <r>
    <n v="594"/>
    <n v="40"/>
    <x v="3"/>
    <s v="Female"/>
    <d v="2023-04-02T00:00:00"/>
    <s v="April"/>
    <s v="Pediatrics"/>
    <x v="3"/>
    <s v="Azithromycin"/>
    <x v="0"/>
    <n v="2"/>
    <n v="165.71"/>
    <s v="Recovered"/>
  </r>
  <r>
    <n v="595"/>
    <n v="45"/>
    <x v="3"/>
    <s v="Female"/>
    <d v="2024-06-19T00:00:00"/>
    <s v="June"/>
    <s v="Pediatrics"/>
    <x v="5"/>
    <s v="None"/>
    <x v="0"/>
    <n v="0"/>
    <n v="350.13"/>
    <s v="Discharged"/>
  </r>
  <r>
    <n v="596"/>
    <n v="2"/>
    <x v="0"/>
    <s v="Female"/>
    <d v="2024-05-03T00:00:00"/>
    <s v="May"/>
    <s v="Internal Medicine"/>
    <x v="4"/>
    <s v="None"/>
    <x v="0"/>
    <n v="3"/>
    <n v="402.45"/>
    <s v="Admitted"/>
  </r>
  <r>
    <n v="597"/>
    <n v="72"/>
    <x v="1"/>
    <s v="Female"/>
    <d v="2023-07-13T00:00:00"/>
    <s v="July"/>
    <s v="Pediatrics"/>
    <x v="3"/>
    <s v="Ciprofloxacin"/>
    <x v="0"/>
    <n v="2"/>
    <n v="363.17"/>
    <s v="Discharged"/>
  </r>
  <r>
    <n v="598"/>
    <n v="34"/>
    <x v="4"/>
    <s v="Male"/>
    <d v="2024-01-23T00:00:00"/>
    <s v="January"/>
    <s v="Pediatrics"/>
    <x v="5"/>
    <s v="Ciprofloxacin"/>
    <x v="0"/>
    <n v="8"/>
    <n v="386.98"/>
    <s v="Admitted"/>
  </r>
  <r>
    <n v="599"/>
    <n v="69"/>
    <x v="1"/>
    <s v="Female"/>
    <d v="2023-10-19T00:00:00"/>
    <s v="October"/>
    <s v="Pediatrics"/>
    <x v="1"/>
    <s v="None"/>
    <x v="0"/>
    <n v="3"/>
    <n v="429.67"/>
    <s v="Referred"/>
  </r>
  <r>
    <n v="600"/>
    <n v="15"/>
    <x v="2"/>
    <s v="Female"/>
    <d v="2023-05-20T00:00:00"/>
    <s v="May"/>
    <s v="Pediatrics"/>
    <x v="4"/>
    <s v="Azithromycin"/>
    <x v="0"/>
    <n v="9"/>
    <n v="256.16000000000003"/>
    <s v="Admitted"/>
  </r>
  <r>
    <n v="601"/>
    <n v="7"/>
    <x v="0"/>
    <s v="Male"/>
    <d v="2023-01-20T00:00:00"/>
    <s v="January"/>
    <s v="Outpatient"/>
    <x v="5"/>
    <s v="Amoxicillin"/>
    <x v="0"/>
    <n v="4"/>
    <n v="149.21"/>
    <s v="Discharged"/>
  </r>
  <r>
    <n v="602"/>
    <n v="12"/>
    <x v="0"/>
    <s v="Male"/>
    <d v="2023-01-09T00:00:00"/>
    <s v="January"/>
    <s v="Emergency"/>
    <x v="5"/>
    <s v="Ceftriaxone"/>
    <x v="0"/>
    <n v="3"/>
    <n v="184.12"/>
    <s v="Admitted"/>
  </r>
  <r>
    <n v="603"/>
    <n v="60"/>
    <x v="1"/>
    <s v="Male"/>
    <d v="2024-05-25T00:00:00"/>
    <s v="May"/>
    <s v="Internal Medicine"/>
    <x v="4"/>
    <s v="Amoxicillin"/>
    <x v="0"/>
    <n v="2"/>
    <n v="46.9"/>
    <s v="Discharged"/>
  </r>
  <r>
    <n v="604"/>
    <n v="61"/>
    <x v="1"/>
    <s v="Male"/>
    <d v="2023-03-15T00:00:00"/>
    <s v="March"/>
    <s v="Outpatient"/>
    <x v="2"/>
    <s v="None"/>
    <x v="0"/>
    <n v="4"/>
    <n v="412.28"/>
    <s v="Recovered"/>
  </r>
  <r>
    <n v="605"/>
    <n v="32"/>
    <x v="4"/>
    <s v="Female"/>
    <d v="2023-05-05T00:00:00"/>
    <s v="May"/>
    <s v="Pediatrics"/>
    <x v="1"/>
    <s v="None"/>
    <x v="0"/>
    <n v="3"/>
    <n v="374.06"/>
    <s v="Recovered"/>
  </r>
  <r>
    <n v="606"/>
    <n v="13"/>
    <x v="2"/>
    <s v="Male"/>
    <d v="2023-07-23T00:00:00"/>
    <s v="July"/>
    <s v="Pediatrics"/>
    <x v="3"/>
    <s v="Ceftriaxone"/>
    <x v="0"/>
    <n v="10"/>
    <n v="481.38"/>
    <s v="Admitted"/>
  </r>
  <r>
    <n v="607"/>
    <n v="6"/>
    <x v="0"/>
    <s v="Male"/>
    <d v="2023-06-12T00:00:00"/>
    <s v="June"/>
    <s v="Internal Medicine"/>
    <x v="1"/>
    <s v="None"/>
    <x v="0"/>
    <n v="7"/>
    <n v="326.49"/>
    <s v="Referred"/>
  </r>
  <r>
    <n v="608"/>
    <n v="28"/>
    <x v="4"/>
    <s v="Male"/>
    <d v="2024-01-05T00:00:00"/>
    <s v="January"/>
    <s v="Outpatient"/>
    <x v="0"/>
    <s v="None"/>
    <x v="0"/>
    <n v="10"/>
    <n v="228.4"/>
    <s v="Recovered"/>
  </r>
  <r>
    <n v="609"/>
    <n v="75"/>
    <x v="1"/>
    <s v="Male"/>
    <d v="2023-06-21T00:00:00"/>
    <s v="June"/>
    <s v="Pediatrics"/>
    <x v="4"/>
    <s v="Ciprofloxacin"/>
    <x v="0"/>
    <n v="0"/>
    <n v="485.04"/>
    <s v="Discharged"/>
  </r>
  <r>
    <n v="610"/>
    <n v="20"/>
    <x v="4"/>
    <s v="Female"/>
    <d v="2024-12-05T00:00:00"/>
    <s v="December"/>
    <s v="Emergency"/>
    <x v="2"/>
    <s v="None"/>
    <x v="0"/>
    <n v="3"/>
    <n v="95.7"/>
    <s v="Recovered"/>
  </r>
  <r>
    <n v="611"/>
    <n v="44"/>
    <x v="3"/>
    <s v="Male"/>
    <d v="2024-12-03T00:00:00"/>
    <s v="December"/>
    <s v="Emergency"/>
    <x v="2"/>
    <s v="None"/>
    <x v="0"/>
    <n v="5"/>
    <n v="329.4"/>
    <s v="Recovered"/>
  </r>
  <r>
    <n v="612"/>
    <n v="30"/>
    <x v="4"/>
    <s v="Female"/>
    <d v="2023-05-09T00:00:00"/>
    <s v="May"/>
    <s v="Internal Medicine"/>
    <x v="3"/>
    <s v="Ceftriaxone"/>
    <x v="0"/>
    <n v="3"/>
    <n v="30.25"/>
    <s v="Discharged"/>
  </r>
  <r>
    <n v="613"/>
    <n v="18"/>
    <x v="2"/>
    <s v="Female"/>
    <d v="2024-01-02T00:00:00"/>
    <s v="January"/>
    <s v="Emergency"/>
    <x v="1"/>
    <s v="None"/>
    <x v="0"/>
    <n v="7"/>
    <n v="359.18"/>
    <s v="Admitted"/>
  </r>
  <r>
    <n v="614"/>
    <n v="63"/>
    <x v="1"/>
    <s v="Male"/>
    <d v="2024-07-09T00:00:00"/>
    <s v="July"/>
    <s v="Outpatient"/>
    <x v="1"/>
    <s v="None"/>
    <x v="0"/>
    <n v="8"/>
    <n v="186.88"/>
    <s v="Discharged"/>
  </r>
  <r>
    <n v="615"/>
    <n v="71"/>
    <x v="1"/>
    <s v="Male"/>
    <d v="2023-10-09T00:00:00"/>
    <s v="October"/>
    <s v="Emergency"/>
    <x v="2"/>
    <s v="None"/>
    <x v="0"/>
    <n v="8"/>
    <n v="94.41"/>
    <s v="Admitted"/>
  </r>
  <r>
    <n v="616"/>
    <n v="47"/>
    <x v="3"/>
    <s v="Female"/>
    <d v="2023-09-27T00:00:00"/>
    <s v="September"/>
    <s v="Emergency"/>
    <x v="2"/>
    <s v="None"/>
    <x v="0"/>
    <n v="10"/>
    <n v="262.86"/>
    <s v="Referred"/>
  </r>
  <r>
    <n v="617"/>
    <n v="47"/>
    <x v="3"/>
    <s v="Male"/>
    <d v="2023-01-20T00:00:00"/>
    <s v="January"/>
    <s v="Internal Medicine"/>
    <x v="2"/>
    <s v="None"/>
    <x v="0"/>
    <n v="1"/>
    <n v="335.98"/>
    <s v="Discharged"/>
  </r>
  <r>
    <n v="618"/>
    <n v="64"/>
    <x v="1"/>
    <s v="Male"/>
    <d v="2023-07-14T00:00:00"/>
    <s v="July"/>
    <s v="Internal Medicine"/>
    <x v="2"/>
    <s v="None"/>
    <x v="0"/>
    <n v="5"/>
    <n v="216.71"/>
    <s v="Admitted"/>
  </r>
  <r>
    <n v="619"/>
    <n v="67"/>
    <x v="1"/>
    <s v="Male"/>
    <d v="2023-04-24T00:00:00"/>
    <s v="April"/>
    <s v="Emergency"/>
    <x v="0"/>
    <s v="None"/>
    <x v="0"/>
    <n v="2"/>
    <n v="105.75"/>
    <s v="Recovered"/>
  </r>
  <r>
    <n v="620"/>
    <n v="63"/>
    <x v="1"/>
    <s v="Male"/>
    <d v="2023-07-26T00:00:00"/>
    <s v="July"/>
    <s v="Emergency"/>
    <x v="0"/>
    <s v="None"/>
    <x v="0"/>
    <n v="0"/>
    <n v="294.08999999999997"/>
    <s v="Discharged"/>
  </r>
  <r>
    <n v="621"/>
    <n v="68"/>
    <x v="1"/>
    <s v="Female"/>
    <d v="2024-11-04T00:00:00"/>
    <s v="November"/>
    <s v="Emergency"/>
    <x v="3"/>
    <s v="Azithromycin"/>
    <x v="0"/>
    <n v="3"/>
    <n v="310.86"/>
    <s v="Recovered"/>
  </r>
  <r>
    <n v="622"/>
    <n v="84"/>
    <x v="1"/>
    <s v="Female"/>
    <d v="2023-01-14T00:00:00"/>
    <s v="January"/>
    <s v="Emergency"/>
    <x v="5"/>
    <s v="Ceftriaxone"/>
    <x v="0"/>
    <n v="10"/>
    <n v="49.14"/>
    <s v="Discharged"/>
  </r>
  <r>
    <n v="623"/>
    <n v="8"/>
    <x v="0"/>
    <s v="Female"/>
    <d v="2024-01-13T00:00:00"/>
    <s v="January"/>
    <s v="Emergency"/>
    <x v="1"/>
    <s v="None"/>
    <x v="0"/>
    <n v="1"/>
    <n v="420.54"/>
    <s v="Recovered"/>
  </r>
  <r>
    <n v="624"/>
    <n v="13"/>
    <x v="2"/>
    <s v="Male"/>
    <d v="2023-08-10T00:00:00"/>
    <s v="August"/>
    <s v="Outpatient"/>
    <x v="2"/>
    <s v="None"/>
    <x v="0"/>
    <n v="8"/>
    <n v="204.96"/>
    <s v="Referred"/>
  </r>
  <r>
    <n v="625"/>
    <n v="32"/>
    <x v="4"/>
    <s v="Male"/>
    <d v="2024-06-22T00:00:00"/>
    <s v="June"/>
    <s v="Pediatrics"/>
    <x v="1"/>
    <s v="None"/>
    <x v="0"/>
    <n v="1"/>
    <n v="387.82"/>
    <s v="Admitted"/>
  </r>
  <r>
    <n v="626"/>
    <n v="55"/>
    <x v="3"/>
    <s v="Male"/>
    <d v="2024-11-21T00:00:00"/>
    <s v="November"/>
    <s v="Outpatient"/>
    <x v="3"/>
    <s v="Ciprofloxacin"/>
    <x v="0"/>
    <n v="8"/>
    <n v="212.75"/>
    <s v="Admitted"/>
  </r>
  <r>
    <n v="627"/>
    <n v="69"/>
    <x v="1"/>
    <s v="Female"/>
    <d v="2024-11-04T00:00:00"/>
    <s v="November"/>
    <s v="Internal Medicine"/>
    <x v="5"/>
    <s v="Azithromycin"/>
    <x v="0"/>
    <n v="8"/>
    <n v="495.9"/>
    <s v="Admitted"/>
  </r>
  <r>
    <n v="628"/>
    <n v="82"/>
    <x v="1"/>
    <s v="Female"/>
    <d v="2024-01-16T00:00:00"/>
    <s v="January"/>
    <s v="Internal Medicine"/>
    <x v="3"/>
    <s v="None"/>
    <x v="0"/>
    <n v="3"/>
    <n v="290.31"/>
    <s v="Referred"/>
  </r>
  <r>
    <n v="629"/>
    <n v="33"/>
    <x v="4"/>
    <s v="Female"/>
    <d v="2024-01-20T00:00:00"/>
    <s v="January"/>
    <s v="Pediatrics"/>
    <x v="2"/>
    <s v="None"/>
    <x v="0"/>
    <n v="7"/>
    <n v="480.72"/>
    <s v="Recovered"/>
  </r>
  <r>
    <n v="630"/>
    <n v="77"/>
    <x v="1"/>
    <s v="Male"/>
    <d v="2023-02-05T00:00:00"/>
    <s v="February"/>
    <s v="Outpatient"/>
    <x v="4"/>
    <s v="Azithromycin"/>
    <x v="0"/>
    <n v="0"/>
    <n v="164.16"/>
    <s v="Referred"/>
  </r>
  <r>
    <n v="631"/>
    <n v="3"/>
    <x v="0"/>
    <s v="Female"/>
    <d v="2023-08-08T00:00:00"/>
    <s v="August"/>
    <s v="Outpatient"/>
    <x v="4"/>
    <s v="Amoxicillin"/>
    <x v="0"/>
    <n v="0"/>
    <n v="240.98"/>
    <s v="Referred"/>
  </r>
  <r>
    <n v="632"/>
    <n v="47"/>
    <x v="3"/>
    <s v="Male"/>
    <d v="2023-05-22T00:00:00"/>
    <s v="May"/>
    <s v="Outpatient"/>
    <x v="4"/>
    <s v="Azithromycin"/>
    <x v="0"/>
    <n v="4"/>
    <n v="64.11"/>
    <s v="Discharged"/>
  </r>
  <r>
    <n v="633"/>
    <n v="10"/>
    <x v="0"/>
    <s v="Female"/>
    <d v="2024-08-05T00:00:00"/>
    <s v="August"/>
    <s v="Pediatrics"/>
    <x v="5"/>
    <s v="Ciprofloxacin"/>
    <x v="0"/>
    <n v="7"/>
    <n v="416.34"/>
    <s v="Recovered"/>
  </r>
  <r>
    <n v="634"/>
    <n v="39"/>
    <x v="3"/>
    <s v="Male"/>
    <d v="2024-09-01T00:00:00"/>
    <s v="September"/>
    <s v="Pediatrics"/>
    <x v="1"/>
    <s v="None"/>
    <x v="0"/>
    <n v="1"/>
    <n v="394.46"/>
    <s v="Admitted"/>
  </r>
  <r>
    <n v="635"/>
    <n v="54"/>
    <x v="3"/>
    <s v="Male"/>
    <d v="2023-12-23T00:00:00"/>
    <s v="December"/>
    <s v="Outpatient"/>
    <x v="3"/>
    <s v="None"/>
    <x v="0"/>
    <n v="0"/>
    <n v="324.27"/>
    <s v="Discharged"/>
  </r>
  <r>
    <n v="636"/>
    <n v="68"/>
    <x v="1"/>
    <s v="Male"/>
    <d v="2023-02-25T00:00:00"/>
    <s v="February"/>
    <s v="Internal Medicine"/>
    <x v="4"/>
    <s v="None"/>
    <x v="0"/>
    <n v="9"/>
    <n v="91.8"/>
    <s v="Referred"/>
  </r>
  <r>
    <n v="637"/>
    <n v="51"/>
    <x v="3"/>
    <s v="Female"/>
    <d v="2023-06-06T00:00:00"/>
    <s v="June"/>
    <s v="Emergency"/>
    <x v="0"/>
    <s v="None"/>
    <x v="0"/>
    <n v="3"/>
    <n v="227.33"/>
    <s v="Discharged"/>
  </r>
  <r>
    <n v="638"/>
    <n v="44"/>
    <x v="3"/>
    <s v="Male"/>
    <d v="2023-06-01T00:00:00"/>
    <s v="June"/>
    <s v="Pediatrics"/>
    <x v="5"/>
    <s v="None"/>
    <x v="0"/>
    <n v="0"/>
    <n v="283.11"/>
    <s v="Admitted"/>
  </r>
  <r>
    <n v="639"/>
    <n v="65"/>
    <x v="1"/>
    <s v="Female"/>
    <d v="2023-03-29T00:00:00"/>
    <s v="March"/>
    <s v="Outpatient"/>
    <x v="3"/>
    <s v="Ciprofloxacin"/>
    <x v="0"/>
    <n v="7"/>
    <n v="288.45999999999998"/>
    <s v="Discharged"/>
  </r>
  <r>
    <n v="640"/>
    <n v="74"/>
    <x v="1"/>
    <s v="Male"/>
    <d v="2024-02-09T00:00:00"/>
    <s v="February"/>
    <s v="Outpatient"/>
    <x v="1"/>
    <s v="None"/>
    <x v="0"/>
    <n v="3"/>
    <n v="54.39"/>
    <s v="Discharged"/>
  </r>
  <r>
    <n v="641"/>
    <n v="74"/>
    <x v="1"/>
    <s v="Male"/>
    <d v="2023-11-28T00:00:00"/>
    <s v="November"/>
    <s v="Emergency"/>
    <x v="1"/>
    <s v="None"/>
    <x v="0"/>
    <n v="10"/>
    <n v="218.52"/>
    <s v="Admitted"/>
  </r>
  <r>
    <n v="642"/>
    <n v="42"/>
    <x v="3"/>
    <s v="Female"/>
    <d v="2023-12-23T00:00:00"/>
    <s v="December"/>
    <s v="Emergency"/>
    <x v="5"/>
    <s v="Azithromycin"/>
    <x v="0"/>
    <n v="2"/>
    <n v="494.07"/>
    <s v="Discharged"/>
  </r>
  <r>
    <n v="643"/>
    <n v="57"/>
    <x v="3"/>
    <s v="Male"/>
    <d v="2024-09-30T00:00:00"/>
    <s v="September"/>
    <s v="Outpatient"/>
    <x v="5"/>
    <s v="Ciprofloxacin"/>
    <x v="0"/>
    <n v="10"/>
    <n v="199.43"/>
    <s v="Recovered"/>
  </r>
  <r>
    <n v="644"/>
    <n v="7"/>
    <x v="0"/>
    <s v="Male"/>
    <d v="2023-04-26T00:00:00"/>
    <s v="April"/>
    <s v="Outpatient"/>
    <x v="1"/>
    <s v="None"/>
    <x v="0"/>
    <n v="4"/>
    <n v="26.59"/>
    <s v="Recovered"/>
  </r>
  <r>
    <n v="645"/>
    <n v="61"/>
    <x v="1"/>
    <s v="Male"/>
    <d v="2023-11-09T00:00:00"/>
    <s v="November"/>
    <s v="Internal Medicine"/>
    <x v="3"/>
    <s v="Ciprofloxacin"/>
    <x v="0"/>
    <n v="8"/>
    <n v="121.7"/>
    <s v="Admitted"/>
  </r>
  <r>
    <n v="646"/>
    <n v="80"/>
    <x v="1"/>
    <s v="Male"/>
    <d v="2024-07-15T00:00:00"/>
    <s v="July"/>
    <s v="Emergency"/>
    <x v="3"/>
    <s v="Ceftriaxone"/>
    <x v="0"/>
    <n v="9"/>
    <n v="454.9"/>
    <s v="Recovered"/>
  </r>
  <r>
    <n v="647"/>
    <n v="8"/>
    <x v="0"/>
    <s v="Female"/>
    <d v="2023-09-19T00:00:00"/>
    <s v="September"/>
    <s v="Outpatient"/>
    <x v="5"/>
    <s v="None"/>
    <x v="0"/>
    <n v="4"/>
    <n v="45.48"/>
    <s v="Recovered"/>
  </r>
  <r>
    <n v="648"/>
    <n v="85"/>
    <x v="1"/>
    <s v="Female"/>
    <d v="2023-03-10T00:00:00"/>
    <s v="March"/>
    <s v="Internal Medicine"/>
    <x v="3"/>
    <s v="Amoxicillin"/>
    <x v="0"/>
    <n v="0"/>
    <n v="160.4"/>
    <s v="Discharged"/>
  </r>
  <r>
    <n v="649"/>
    <n v="66"/>
    <x v="1"/>
    <s v="Male"/>
    <d v="2023-08-25T00:00:00"/>
    <s v="August"/>
    <s v="Internal Medicine"/>
    <x v="3"/>
    <s v="Ceftriaxone"/>
    <x v="0"/>
    <n v="9"/>
    <n v="275.14999999999998"/>
    <s v="Referred"/>
  </r>
  <r>
    <n v="650"/>
    <n v="59"/>
    <x v="3"/>
    <s v="Male"/>
    <d v="2023-07-23T00:00:00"/>
    <s v="July"/>
    <s v="Emergency"/>
    <x v="2"/>
    <s v="None"/>
    <x v="0"/>
    <n v="3"/>
    <n v="462.69"/>
    <s v="Admitted"/>
  </r>
  <r>
    <n v="651"/>
    <n v="51"/>
    <x v="3"/>
    <s v="Male"/>
    <d v="2023-12-08T00:00:00"/>
    <s v="December"/>
    <s v="Emergency"/>
    <x v="3"/>
    <s v="Azithromycin"/>
    <x v="0"/>
    <n v="10"/>
    <n v="188.92"/>
    <s v="Admitted"/>
  </r>
  <r>
    <n v="652"/>
    <n v="36"/>
    <x v="3"/>
    <s v="Male"/>
    <d v="2023-08-30T00:00:00"/>
    <s v="August"/>
    <s v="Internal Medicine"/>
    <x v="2"/>
    <s v="None"/>
    <x v="0"/>
    <n v="6"/>
    <n v="447.39"/>
    <s v="Recovered"/>
  </r>
  <r>
    <n v="653"/>
    <n v="29"/>
    <x v="4"/>
    <s v="Male"/>
    <d v="2024-07-22T00:00:00"/>
    <s v="July"/>
    <s v="Internal Medicine"/>
    <x v="4"/>
    <s v="Ceftriaxone"/>
    <x v="0"/>
    <n v="10"/>
    <n v="85.89"/>
    <s v="Discharged"/>
  </r>
  <r>
    <n v="654"/>
    <n v="79"/>
    <x v="1"/>
    <s v="Male"/>
    <d v="2024-06-17T00:00:00"/>
    <s v="June"/>
    <s v="Pediatrics"/>
    <x v="1"/>
    <s v="None"/>
    <x v="0"/>
    <n v="3"/>
    <n v="294.99"/>
    <s v="Discharged"/>
  </r>
  <r>
    <n v="655"/>
    <n v="43"/>
    <x v="3"/>
    <s v="Female"/>
    <d v="2023-11-16T00:00:00"/>
    <s v="November"/>
    <s v="Outpatient"/>
    <x v="2"/>
    <s v="None"/>
    <x v="0"/>
    <n v="3"/>
    <n v="333.19"/>
    <s v="Referred"/>
  </r>
  <r>
    <n v="656"/>
    <n v="68"/>
    <x v="1"/>
    <s v="Male"/>
    <d v="2023-05-22T00:00:00"/>
    <s v="May"/>
    <s v="Pediatrics"/>
    <x v="4"/>
    <s v="Ciprofloxacin"/>
    <x v="0"/>
    <n v="10"/>
    <n v="467.85"/>
    <s v="Referred"/>
  </r>
  <r>
    <n v="657"/>
    <n v="72"/>
    <x v="1"/>
    <s v="Male"/>
    <d v="2023-11-22T00:00:00"/>
    <s v="November"/>
    <s v="Outpatient"/>
    <x v="0"/>
    <s v="None"/>
    <x v="0"/>
    <n v="5"/>
    <n v="422.97"/>
    <s v="Referred"/>
  </r>
  <r>
    <n v="658"/>
    <n v="53"/>
    <x v="3"/>
    <s v="Female"/>
    <d v="2023-01-31T00:00:00"/>
    <s v="January"/>
    <s v="Internal Medicine"/>
    <x v="4"/>
    <s v="Ceftriaxone"/>
    <x v="0"/>
    <n v="10"/>
    <n v="467.96"/>
    <s v="Admitted"/>
  </r>
  <r>
    <n v="659"/>
    <n v="14"/>
    <x v="2"/>
    <s v="Male"/>
    <d v="2023-06-05T00:00:00"/>
    <s v="June"/>
    <s v="Outpatient"/>
    <x v="5"/>
    <s v="Amoxicillin"/>
    <x v="0"/>
    <n v="9"/>
    <n v="316.13"/>
    <s v="Referred"/>
  </r>
  <r>
    <n v="660"/>
    <n v="30"/>
    <x v="4"/>
    <s v="Male"/>
    <d v="2024-09-02T00:00:00"/>
    <s v="September"/>
    <s v="Internal Medicine"/>
    <x v="5"/>
    <s v="Amoxicillin"/>
    <x v="0"/>
    <n v="7"/>
    <n v="84.36"/>
    <s v="Discharged"/>
  </r>
  <r>
    <n v="661"/>
    <n v="48"/>
    <x v="3"/>
    <s v="Male"/>
    <d v="2024-12-30T00:00:00"/>
    <s v="December"/>
    <s v="Pediatrics"/>
    <x v="1"/>
    <s v="None"/>
    <x v="0"/>
    <n v="7"/>
    <n v="247.45"/>
    <s v="Referred"/>
  </r>
  <r>
    <n v="662"/>
    <n v="5"/>
    <x v="0"/>
    <s v="Female"/>
    <d v="2023-07-17T00:00:00"/>
    <s v="July"/>
    <s v="Emergency"/>
    <x v="5"/>
    <s v="Azithromycin"/>
    <x v="0"/>
    <n v="6"/>
    <n v="126.83"/>
    <s v="Referred"/>
  </r>
  <r>
    <n v="663"/>
    <n v="23"/>
    <x v="4"/>
    <s v="Female"/>
    <d v="2023-07-29T00:00:00"/>
    <s v="July"/>
    <s v="Pediatrics"/>
    <x v="0"/>
    <s v="None"/>
    <x v="0"/>
    <n v="5"/>
    <n v="436.05"/>
    <s v="Referred"/>
  </r>
  <r>
    <n v="664"/>
    <n v="6"/>
    <x v="0"/>
    <s v="Female"/>
    <d v="2024-03-13T00:00:00"/>
    <s v="March"/>
    <s v="Internal Medicine"/>
    <x v="3"/>
    <s v="Ceftriaxone"/>
    <x v="0"/>
    <n v="9"/>
    <n v="470.79"/>
    <s v="Recovered"/>
  </r>
  <r>
    <n v="665"/>
    <n v="58"/>
    <x v="3"/>
    <s v="Female"/>
    <d v="2024-06-17T00:00:00"/>
    <s v="June"/>
    <s v="Emergency"/>
    <x v="0"/>
    <s v="None"/>
    <x v="0"/>
    <n v="3"/>
    <n v="268.98"/>
    <s v="Discharged"/>
  </r>
  <r>
    <n v="666"/>
    <n v="50"/>
    <x v="3"/>
    <s v="Male"/>
    <d v="2023-02-10T00:00:00"/>
    <s v="February"/>
    <s v="Outpatient"/>
    <x v="2"/>
    <s v="None"/>
    <x v="0"/>
    <n v="4"/>
    <n v="230.99"/>
    <s v="Admitted"/>
  </r>
  <r>
    <n v="667"/>
    <n v="22"/>
    <x v="4"/>
    <s v="Female"/>
    <d v="2023-10-20T00:00:00"/>
    <s v="October"/>
    <s v="Internal Medicine"/>
    <x v="3"/>
    <s v="None"/>
    <x v="0"/>
    <n v="0"/>
    <n v="351.18"/>
    <s v="Referred"/>
  </r>
  <r>
    <n v="668"/>
    <n v="58"/>
    <x v="3"/>
    <s v="Male"/>
    <d v="2024-04-19T00:00:00"/>
    <s v="April"/>
    <s v="Emergency"/>
    <x v="1"/>
    <s v="None"/>
    <x v="0"/>
    <n v="2"/>
    <n v="393.79"/>
    <s v="Referred"/>
  </r>
  <r>
    <n v="669"/>
    <n v="42"/>
    <x v="3"/>
    <s v="Female"/>
    <d v="2024-02-07T00:00:00"/>
    <s v="February"/>
    <s v="Emergency"/>
    <x v="3"/>
    <s v="Ciprofloxacin"/>
    <x v="0"/>
    <n v="7"/>
    <n v="303.35000000000002"/>
    <s v="Referred"/>
  </r>
  <r>
    <n v="670"/>
    <n v="33"/>
    <x v="4"/>
    <s v="Female"/>
    <d v="2024-04-10T00:00:00"/>
    <s v="April"/>
    <s v="Outpatient"/>
    <x v="0"/>
    <s v="None"/>
    <x v="0"/>
    <n v="1"/>
    <n v="63.77"/>
    <s v="Discharged"/>
  </r>
  <r>
    <n v="671"/>
    <n v="11"/>
    <x v="0"/>
    <s v="Female"/>
    <d v="2024-10-11T00:00:00"/>
    <s v="October"/>
    <s v="Outpatient"/>
    <x v="4"/>
    <s v="Ceftriaxone"/>
    <x v="0"/>
    <n v="8"/>
    <n v="202.69"/>
    <s v="Referred"/>
  </r>
  <r>
    <n v="672"/>
    <n v="85"/>
    <x v="1"/>
    <s v="Male"/>
    <d v="2023-12-10T00:00:00"/>
    <s v="December"/>
    <s v="Outpatient"/>
    <x v="2"/>
    <s v="None"/>
    <x v="0"/>
    <n v="2"/>
    <n v="105.86"/>
    <s v="Recovered"/>
  </r>
  <r>
    <n v="673"/>
    <n v="40"/>
    <x v="3"/>
    <s v="Female"/>
    <d v="2024-03-05T00:00:00"/>
    <s v="March"/>
    <s v="Internal Medicine"/>
    <x v="4"/>
    <s v="Ciprofloxacin"/>
    <x v="0"/>
    <n v="1"/>
    <n v="451.3"/>
    <s v="Referred"/>
  </r>
  <r>
    <n v="674"/>
    <n v="33"/>
    <x v="4"/>
    <s v="Male"/>
    <d v="2023-01-04T00:00:00"/>
    <s v="January"/>
    <s v="Pediatrics"/>
    <x v="2"/>
    <s v="None"/>
    <x v="0"/>
    <n v="7"/>
    <n v="430.6"/>
    <s v="Recovered"/>
  </r>
  <r>
    <n v="675"/>
    <n v="31"/>
    <x v="4"/>
    <s v="Male"/>
    <d v="2024-09-14T00:00:00"/>
    <s v="September"/>
    <s v="Pediatrics"/>
    <x v="3"/>
    <s v="Ceftriaxone"/>
    <x v="0"/>
    <n v="6"/>
    <n v="232.1"/>
    <s v="Recovered"/>
  </r>
  <r>
    <n v="676"/>
    <n v="36"/>
    <x v="3"/>
    <s v="Male"/>
    <d v="2023-09-08T00:00:00"/>
    <s v="September"/>
    <s v="Emergency"/>
    <x v="2"/>
    <s v="None"/>
    <x v="0"/>
    <n v="2"/>
    <n v="91.16"/>
    <s v="Admitted"/>
  </r>
  <r>
    <n v="677"/>
    <n v="5"/>
    <x v="0"/>
    <s v="Female"/>
    <d v="2023-02-07T00:00:00"/>
    <s v="February"/>
    <s v="Internal Medicine"/>
    <x v="5"/>
    <s v="Amoxicillin"/>
    <x v="0"/>
    <n v="0"/>
    <n v="72.27"/>
    <s v="Referred"/>
  </r>
  <r>
    <n v="678"/>
    <n v="37"/>
    <x v="3"/>
    <s v="Male"/>
    <d v="2023-06-15T00:00:00"/>
    <s v="June"/>
    <s v="Pediatrics"/>
    <x v="1"/>
    <s v="None"/>
    <x v="0"/>
    <n v="9"/>
    <n v="192.89"/>
    <s v="Recovered"/>
  </r>
  <r>
    <n v="679"/>
    <n v="42"/>
    <x v="3"/>
    <s v="Female"/>
    <d v="2023-04-06T00:00:00"/>
    <s v="April"/>
    <s v="Pediatrics"/>
    <x v="4"/>
    <s v="Amoxicillin"/>
    <x v="0"/>
    <n v="6"/>
    <n v="424.79"/>
    <s v="Recovered"/>
  </r>
  <r>
    <n v="680"/>
    <n v="18"/>
    <x v="2"/>
    <s v="Male"/>
    <d v="2023-10-27T00:00:00"/>
    <s v="October"/>
    <s v="Internal Medicine"/>
    <x v="3"/>
    <s v="Azithromycin"/>
    <x v="0"/>
    <n v="8"/>
    <n v="218.6"/>
    <s v="Referred"/>
  </r>
  <r>
    <n v="681"/>
    <n v="79"/>
    <x v="1"/>
    <s v="Male"/>
    <d v="2024-12-13T00:00:00"/>
    <s v="December"/>
    <s v="Emergency"/>
    <x v="5"/>
    <s v="None"/>
    <x v="0"/>
    <n v="10"/>
    <n v="273.89"/>
    <s v="Recovered"/>
  </r>
  <r>
    <n v="682"/>
    <n v="78"/>
    <x v="1"/>
    <s v="Female"/>
    <d v="2024-05-10T00:00:00"/>
    <s v="May"/>
    <s v="Pediatrics"/>
    <x v="1"/>
    <s v="None"/>
    <x v="0"/>
    <n v="9"/>
    <n v="426.94"/>
    <s v="Admitted"/>
  </r>
  <r>
    <n v="683"/>
    <n v="80"/>
    <x v="1"/>
    <s v="Female"/>
    <d v="2024-06-22T00:00:00"/>
    <s v="June"/>
    <s v="Outpatient"/>
    <x v="2"/>
    <s v="None"/>
    <x v="0"/>
    <n v="9"/>
    <n v="290.06"/>
    <s v="Discharged"/>
  </r>
  <r>
    <n v="684"/>
    <n v="79"/>
    <x v="1"/>
    <s v="Male"/>
    <d v="2024-05-19T00:00:00"/>
    <s v="May"/>
    <s v="Internal Medicine"/>
    <x v="5"/>
    <s v="Ciprofloxacin"/>
    <x v="0"/>
    <n v="0"/>
    <n v="76.739999999999995"/>
    <s v="Discharged"/>
  </r>
  <r>
    <n v="685"/>
    <n v="27"/>
    <x v="4"/>
    <s v="Female"/>
    <d v="2024-10-02T00:00:00"/>
    <s v="October"/>
    <s v="Pediatrics"/>
    <x v="0"/>
    <s v="None"/>
    <x v="0"/>
    <n v="0"/>
    <n v="180.22"/>
    <s v="Referred"/>
  </r>
  <r>
    <n v="686"/>
    <n v="26"/>
    <x v="4"/>
    <s v="Female"/>
    <d v="2023-01-12T00:00:00"/>
    <s v="January"/>
    <s v="Internal Medicine"/>
    <x v="1"/>
    <s v="None"/>
    <x v="0"/>
    <n v="1"/>
    <n v="167.73"/>
    <s v="Admitted"/>
  </r>
  <r>
    <n v="687"/>
    <n v="43"/>
    <x v="3"/>
    <s v="Female"/>
    <d v="2023-01-07T00:00:00"/>
    <s v="January"/>
    <s v="Pediatrics"/>
    <x v="0"/>
    <s v="None"/>
    <x v="0"/>
    <n v="9"/>
    <n v="315.68"/>
    <s v="Recovered"/>
  </r>
  <r>
    <n v="688"/>
    <n v="43"/>
    <x v="3"/>
    <s v="Female"/>
    <d v="2023-06-29T00:00:00"/>
    <s v="June"/>
    <s v="Pediatrics"/>
    <x v="5"/>
    <s v="Ceftriaxone"/>
    <x v="0"/>
    <n v="0"/>
    <n v="329.91"/>
    <s v="Discharged"/>
  </r>
  <r>
    <n v="689"/>
    <n v="59"/>
    <x v="3"/>
    <s v="Female"/>
    <d v="2023-06-09T00:00:00"/>
    <s v="June"/>
    <s v="Pediatrics"/>
    <x v="1"/>
    <s v="None"/>
    <x v="0"/>
    <n v="6"/>
    <n v="465.34"/>
    <s v="Recovered"/>
  </r>
  <r>
    <n v="690"/>
    <n v="73"/>
    <x v="1"/>
    <s v="Female"/>
    <d v="2024-06-17T00:00:00"/>
    <s v="June"/>
    <s v="Emergency"/>
    <x v="4"/>
    <s v="Ciprofloxacin"/>
    <x v="0"/>
    <n v="9"/>
    <n v="349.04"/>
    <s v="Admitted"/>
  </r>
  <r>
    <n v="691"/>
    <n v="36"/>
    <x v="3"/>
    <s v="Male"/>
    <d v="2023-03-09T00:00:00"/>
    <s v="March"/>
    <s v="Internal Medicine"/>
    <x v="5"/>
    <s v="Ceftriaxone"/>
    <x v="0"/>
    <n v="10"/>
    <n v="276.45"/>
    <s v="Referred"/>
  </r>
  <r>
    <n v="692"/>
    <n v="50"/>
    <x v="3"/>
    <s v="Male"/>
    <d v="2024-08-07T00:00:00"/>
    <s v="August"/>
    <s v="Emergency"/>
    <x v="2"/>
    <s v="None"/>
    <x v="0"/>
    <n v="4"/>
    <n v="358.53"/>
    <s v="Admitted"/>
  </r>
  <r>
    <n v="693"/>
    <n v="35"/>
    <x v="4"/>
    <s v="Female"/>
    <d v="2024-12-27T00:00:00"/>
    <s v="December"/>
    <s v="Emergency"/>
    <x v="0"/>
    <s v="None"/>
    <x v="0"/>
    <n v="7"/>
    <n v="440.98"/>
    <s v="Admitted"/>
  </r>
  <r>
    <n v="694"/>
    <n v="28"/>
    <x v="4"/>
    <s v="Female"/>
    <d v="2024-04-07T00:00:00"/>
    <s v="April"/>
    <s v="Outpatient"/>
    <x v="4"/>
    <s v="Amoxicillin"/>
    <x v="0"/>
    <n v="5"/>
    <n v="396.77"/>
    <s v="Referred"/>
  </r>
  <r>
    <n v="695"/>
    <n v="65"/>
    <x v="1"/>
    <s v="Male"/>
    <d v="2023-04-05T00:00:00"/>
    <s v="April"/>
    <s v="Pediatrics"/>
    <x v="3"/>
    <s v="None"/>
    <x v="0"/>
    <n v="2"/>
    <n v="111.3"/>
    <s v="Discharged"/>
  </r>
  <r>
    <n v="696"/>
    <n v="42"/>
    <x v="3"/>
    <s v="Male"/>
    <d v="2024-06-20T00:00:00"/>
    <s v="June"/>
    <s v="Emergency"/>
    <x v="4"/>
    <s v="None"/>
    <x v="0"/>
    <n v="10"/>
    <n v="496.51"/>
    <s v="Referred"/>
  </r>
  <r>
    <n v="697"/>
    <n v="50"/>
    <x v="3"/>
    <s v="Male"/>
    <d v="2023-02-07T00:00:00"/>
    <s v="February"/>
    <s v="Emergency"/>
    <x v="3"/>
    <s v="Azithromycin"/>
    <x v="0"/>
    <n v="0"/>
    <n v="349.79"/>
    <s v="Recovered"/>
  </r>
  <r>
    <n v="698"/>
    <n v="6"/>
    <x v="0"/>
    <s v="Male"/>
    <d v="2023-12-08T00:00:00"/>
    <s v="December"/>
    <s v="Internal Medicine"/>
    <x v="3"/>
    <s v="Amoxicillin"/>
    <x v="0"/>
    <n v="9"/>
    <n v="384.08"/>
    <s v="Referred"/>
  </r>
  <r>
    <n v="699"/>
    <n v="25"/>
    <x v="4"/>
    <s v="Female"/>
    <d v="2023-11-25T00:00:00"/>
    <s v="November"/>
    <s v="Internal Medicine"/>
    <x v="5"/>
    <s v="None"/>
    <x v="0"/>
    <n v="5"/>
    <n v="390.94"/>
    <s v="Recovered"/>
  </r>
  <r>
    <n v="700"/>
    <n v="21"/>
    <x v="4"/>
    <s v="Female"/>
    <d v="2023-10-07T00:00:00"/>
    <s v="October"/>
    <s v="Emergency"/>
    <x v="5"/>
    <s v="Amoxicillin"/>
    <x v="0"/>
    <n v="9"/>
    <n v="288.62"/>
    <s v="Recovered"/>
  </r>
  <r>
    <n v="701"/>
    <n v="45"/>
    <x v="3"/>
    <s v="Female"/>
    <d v="2023-07-31T00:00:00"/>
    <s v="July"/>
    <s v="Internal Medicine"/>
    <x v="2"/>
    <s v="None"/>
    <x v="0"/>
    <n v="2"/>
    <n v="472.77"/>
    <s v="Admitted"/>
  </r>
  <r>
    <n v="702"/>
    <n v="22"/>
    <x v="4"/>
    <s v="Male"/>
    <d v="2024-08-10T00:00:00"/>
    <s v="August"/>
    <s v="Internal Medicine"/>
    <x v="5"/>
    <s v="None"/>
    <x v="0"/>
    <n v="5"/>
    <n v="279.48"/>
    <s v="Recovered"/>
  </r>
  <r>
    <n v="703"/>
    <n v="61"/>
    <x v="1"/>
    <s v="Male"/>
    <d v="2023-05-14T00:00:00"/>
    <s v="May"/>
    <s v="Emergency"/>
    <x v="0"/>
    <s v="None"/>
    <x v="0"/>
    <n v="6"/>
    <n v="45.82"/>
    <s v="Discharged"/>
  </r>
  <r>
    <n v="704"/>
    <n v="77"/>
    <x v="1"/>
    <s v="Female"/>
    <d v="2024-02-06T00:00:00"/>
    <s v="February"/>
    <s v="Internal Medicine"/>
    <x v="5"/>
    <s v="Azithromycin"/>
    <x v="0"/>
    <n v="5"/>
    <n v="412.37"/>
    <s v="Recovered"/>
  </r>
  <r>
    <n v="705"/>
    <n v="17"/>
    <x v="2"/>
    <s v="Male"/>
    <d v="2024-04-21T00:00:00"/>
    <s v="April"/>
    <s v="Pediatrics"/>
    <x v="2"/>
    <s v="None"/>
    <x v="0"/>
    <n v="1"/>
    <n v="238.68"/>
    <s v="Discharged"/>
  </r>
  <r>
    <n v="706"/>
    <n v="29"/>
    <x v="4"/>
    <s v="Male"/>
    <d v="2024-04-26T00:00:00"/>
    <s v="April"/>
    <s v="Internal Medicine"/>
    <x v="5"/>
    <s v="Azithromycin"/>
    <x v="0"/>
    <n v="6"/>
    <n v="108.01"/>
    <s v="Admitted"/>
  </r>
  <r>
    <n v="707"/>
    <n v="63"/>
    <x v="1"/>
    <s v="Male"/>
    <d v="2023-11-29T00:00:00"/>
    <s v="November"/>
    <s v="Emergency"/>
    <x v="3"/>
    <s v="Ceftriaxone"/>
    <x v="0"/>
    <n v="1"/>
    <n v="188.69"/>
    <s v="Discharged"/>
  </r>
  <r>
    <n v="708"/>
    <n v="45"/>
    <x v="3"/>
    <s v="Male"/>
    <d v="2023-06-24T00:00:00"/>
    <s v="June"/>
    <s v="Emergency"/>
    <x v="4"/>
    <s v="Ceftriaxone"/>
    <x v="0"/>
    <n v="1"/>
    <n v="176.42"/>
    <s v="Recovered"/>
  </r>
  <r>
    <n v="709"/>
    <n v="60"/>
    <x v="1"/>
    <s v="Female"/>
    <d v="2023-11-06T00:00:00"/>
    <s v="November"/>
    <s v="Pediatrics"/>
    <x v="2"/>
    <s v="None"/>
    <x v="0"/>
    <n v="3"/>
    <n v="318.02"/>
    <s v="Referred"/>
  </r>
  <r>
    <n v="710"/>
    <n v="9"/>
    <x v="0"/>
    <s v="Female"/>
    <d v="2024-05-08T00:00:00"/>
    <s v="May"/>
    <s v="Outpatient"/>
    <x v="3"/>
    <s v="None"/>
    <x v="0"/>
    <n v="6"/>
    <n v="396.47"/>
    <s v="Discharged"/>
  </r>
  <r>
    <n v="711"/>
    <n v="70"/>
    <x v="1"/>
    <s v="Male"/>
    <d v="2024-08-03T00:00:00"/>
    <s v="August"/>
    <s v="Outpatient"/>
    <x v="4"/>
    <s v="Amoxicillin"/>
    <x v="0"/>
    <n v="9"/>
    <n v="421.64"/>
    <s v="Recovered"/>
  </r>
  <r>
    <n v="712"/>
    <n v="60"/>
    <x v="1"/>
    <s v="Female"/>
    <d v="2024-08-29T00:00:00"/>
    <s v="August"/>
    <s v="Emergency"/>
    <x v="2"/>
    <s v="None"/>
    <x v="0"/>
    <n v="7"/>
    <n v="104.56"/>
    <s v="Discharged"/>
  </r>
  <r>
    <n v="713"/>
    <n v="14"/>
    <x v="2"/>
    <s v="Female"/>
    <d v="2023-03-13T00:00:00"/>
    <s v="March"/>
    <s v="Internal Medicine"/>
    <x v="2"/>
    <s v="None"/>
    <x v="0"/>
    <n v="7"/>
    <n v="329.59"/>
    <s v="Recovered"/>
  </r>
  <r>
    <n v="714"/>
    <n v="18"/>
    <x v="2"/>
    <s v="Male"/>
    <d v="2023-04-03T00:00:00"/>
    <s v="April"/>
    <s v="Outpatient"/>
    <x v="5"/>
    <s v="Ciprofloxacin"/>
    <x v="0"/>
    <n v="7"/>
    <n v="275"/>
    <s v="Discharged"/>
  </r>
  <r>
    <n v="715"/>
    <n v="58"/>
    <x v="3"/>
    <s v="Male"/>
    <d v="2024-09-22T00:00:00"/>
    <s v="September"/>
    <s v="Outpatient"/>
    <x v="2"/>
    <s v="None"/>
    <x v="0"/>
    <n v="10"/>
    <n v="441.16"/>
    <s v="Admitted"/>
  </r>
  <r>
    <n v="716"/>
    <n v="39"/>
    <x v="3"/>
    <s v="Female"/>
    <d v="2024-08-06T00:00:00"/>
    <s v="August"/>
    <s v="Internal Medicine"/>
    <x v="1"/>
    <s v="None"/>
    <x v="0"/>
    <n v="1"/>
    <n v="299.70999999999998"/>
    <s v="Discharged"/>
  </r>
  <r>
    <n v="717"/>
    <n v="8"/>
    <x v="0"/>
    <s v="Female"/>
    <d v="2023-05-11T00:00:00"/>
    <s v="May"/>
    <s v="Emergency"/>
    <x v="4"/>
    <s v="Amoxicillin"/>
    <x v="0"/>
    <n v="8"/>
    <n v="413.96"/>
    <s v="Admitted"/>
  </r>
  <r>
    <n v="718"/>
    <n v="4"/>
    <x v="0"/>
    <s v="Male"/>
    <d v="2023-04-23T00:00:00"/>
    <s v="April"/>
    <s v="Pediatrics"/>
    <x v="4"/>
    <s v="None"/>
    <x v="0"/>
    <n v="6"/>
    <n v="320.10000000000002"/>
    <s v="Discharged"/>
  </r>
  <r>
    <n v="719"/>
    <n v="56"/>
    <x v="3"/>
    <s v="Male"/>
    <d v="2024-02-20T00:00:00"/>
    <s v="February"/>
    <s v="Outpatient"/>
    <x v="3"/>
    <s v="Ceftriaxone"/>
    <x v="0"/>
    <n v="2"/>
    <n v="110.35"/>
    <s v="Discharged"/>
  </r>
  <r>
    <n v="720"/>
    <n v="20"/>
    <x v="4"/>
    <s v="Female"/>
    <d v="2024-01-04T00:00:00"/>
    <s v="January"/>
    <s v="Outpatient"/>
    <x v="3"/>
    <s v="Ciprofloxacin"/>
    <x v="0"/>
    <n v="0"/>
    <n v="54.44"/>
    <s v="Recovered"/>
  </r>
  <r>
    <n v="721"/>
    <n v="63"/>
    <x v="1"/>
    <s v="Female"/>
    <d v="2023-05-28T00:00:00"/>
    <s v="May"/>
    <s v="Outpatient"/>
    <x v="1"/>
    <s v="None"/>
    <x v="0"/>
    <n v="1"/>
    <n v="85.87"/>
    <s v="Discharged"/>
  </r>
  <r>
    <n v="722"/>
    <n v="78"/>
    <x v="1"/>
    <s v="Female"/>
    <d v="2024-04-11T00:00:00"/>
    <s v="April"/>
    <s v="Outpatient"/>
    <x v="1"/>
    <s v="None"/>
    <x v="0"/>
    <n v="7"/>
    <n v="264.52"/>
    <s v="Discharged"/>
  </r>
  <r>
    <n v="723"/>
    <n v="29"/>
    <x v="4"/>
    <s v="Male"/>
    <d v="2024-01-29T00:00:00"/>
    <s v="January"/>
    <s v="Pediatrics"/>
    <x v="4"/>
    <s v="None"/>
    <x v="0"/>
    <n v="0"/>
    <n v="297.41000000000003"/>
    <s v="Referred"/>
  </r>
  <r>
    <n v="724"/>
    <n v="35"/>
    <x v="4"/>
    <s v="Female"/>
    <d v="2024-12-30T00:00:00"/>
    <s v="December"/>
    <s v="Internal Medicine"/>
    <x v="2"/>
    <s v="None"/>
    <x v="0"/>
    <n v="0"/>
    <n v="489.55"/>
    <s v="Discharged"/>
  </r>
  <r>
    <n v="725"/>
    <n v="15"/>
    <x v="2"/>
    <s v="Female"/>
    <d v="2024-12-22T00:00:00"/>
    <s v="December"/>
    <s v="Emergency"/>
    <x v="4"/>
    <s v="Ciprofloxacin"/>
    <x v="0"/>
    <n v="8"/>
    <n v="492.12"/>
    <s v="Admitted"/>
  </r>
  <r>
    <n v="726"/>
    <n v="11"/>
    <x v="0"/>
    <s v="Male"/>
    <d v="2024-04-21T00:00:00"/>
    <s v="April"/>
    <s v="Outpatient"/>
    <x v="2"/>
    <s v="None"/>
    <x v="0"/>
    <n v="7"/>
    <n v="322.72000000000003"/>
    <s v="Recovered"/>
  </r>
  <r>
    <n v="727"/>
    <n v="70"/>
    <x v="1"/>
    <s v="Female"/>
    <d v="2024-12-01T00:00:00"/>
    <s v="December"/>
    <s v="Emergency"/>
    <x v="1"/>
    <s v="None"/>
    <x v="0"/>
    <n v="5"/>
    <n v="276.82"/>
    <s v="Recovered"/>
  </r>
  <r>
    <n v="728"/>
    <n v="66"/>
    <x v="1"/>
    <s v="Female"/>
    <d v="2024-04-25T00:00:00"/>
    <s v="April"/>
    <s v="Internal Medicine"/>
    <x v="3"/>
    <s v="Ceftriaxone"/>
    <x v="0"/>
    <n v="5"/>
    <n v="481.08"/>
    <s v="Admitted"/>
  </r>
  <r>
    <n v="729"/>
    <n v="5"/>
    <x v="0"/>
    <s v="Female"/>
    <d v="2023-10-24T00:00:00"/>
    <s v="October"/>
    <s v="Internal Medicine"/>
    <x v="5"/>
    <s v="Amoxicillin"/>
    <x v="0"/>
    <n v="10"/>
    <n v="247.12"/>
    <s v="Referred"/>
  </r>
  <r>
    <n v="730"/>
    <n v="85"/>
    <x v="1"/>
    <s v="Female"/>
    <d v="2024-08-09T00:00:00"/>
    <s v="August"/>
    <s v="Emergency"/>
    <x v="0"/>
    <s v="None"/>
    <x v="0"/>
    <n v="4"/>
    <n v="252.68"/>
    <s v="Referred"/>
  </r>
  <r>
    <n v="731"/>
    <n v="36"/>
    <x v="3"/>
    <s v="Female"/>
    <d v="2024-06-01T00:00:00"/>
    <s v="June"/>
    <s v="Outpatient"/>
    <x v="0"/>
    <s v="None"/>
    <x v="0"/>
    <n v="9"/>
    <n v="154.87"/>
    <s v="Admitted"/>
  </r>
  <r>
    <n v="732"/>
    <n v="15"/>
    <x v="2"/>
    <s v="Male"/>
    <d v="2023-01-15T00:00:00"/>
    <s v="January"/>
    <s v="Outpatient"/>
    <x v="1"/>
    <s v="None"/>
    <x v="0"/>
    <n v="10"/>
    <n v="234.39"/>
    <s v="Referred"/>
  </r>
  <r>
    <n v="733"/>
    <n v="31"/>
    <x v="4"/>
    <s v="Female"/>
    <d v="2023-09-25T00:00:00"/>
    <s v="September"/>
    <s v="Outpatient"/>
    <x v="1"/>
    <s v="None"/>
    <x v="0"/>
    <n v="8"/>
    <n v="433.77"/>
    <s v="Admitted"/>
  </r>
  <r>
    <n v="734"/>
    <n v="77"/>
    <x v="1"/>
    <s v="Male"/>
    <d v="2023-03-28T00:00:00"/>
    <s v="March"/>
    <s v="Pediatrics"/>
    <x v="5"/>
    <s v="Ceftriaxone"/>
    <x v="0"/>
    <n v="6"/>
    <n v="134.21"/>
    <s v="Discharged"/>
  </r>
  <r>
    <n v="735"/>
    <n v="27"/>
    <x v="4"/>
    <s v="Female"/>
    <d v="2024-10-14T00:00:00"/>
    <s v="October"/>
    <s v="Emergency"/>
    <x v="5"/>
    <s v="Azithromycin"/>
    <x v="0"/>
    <n v="1"/>
    <n v="45.21"/>
    <s v="Discharged"/>
  </r>
  <r>
    <n v="736"/>
    <n v="39"/>
    <x v="3"/>
    <s v="Female"/>
    <d v="2024-02-13T00:00:00"/>
    <s v="February"/>
    <s v="Outpatient"/>
    <x v="3"/>
    <s v="Ceftriaxone"/>
    <x v="0"/>
    <n v="10"/>
    <n v="358.69"/>
    <s v="Discharged"/>
  </r>
  <r>
    <n v="737"/>
    <n v="68"/>
    <x v="1"/>
    <s v="Female"/>
    <d v="2023-09-26T00:00:00"/>
    <s v="September"/>
    <s v="Emergency"/>
    <x v="5"/>
    <s v="Azithromycin"/>
    <x v="0"/>
    <n v="7"/>
    <n v="203.36"/>
    <s v="Admitted"/>
  </r>
  <r>
    <n v="738"/>
    <n v="6"/>
    <x v="0"/>
    <s v="Male"/>
    <d v="2024-06-26T00:00:00"/>
    <s v="June"/>
    <s v="Internal Medicine"/>
    <x v="1"/>
    <s v="None"/>
    <x v="0"/>
    <n v="6"/>
    <n v="313.02999999999997"/>
    <s v="Admitted"/>
  </r>
  <r>
    <n v="739"/>
    <n v="35"/>
    <x v="4"/>
    <s v="Male"/>
    <d v="2023-12-10T00:00:00"/>
    <s v="December"/>
    <s v="Internal Medicine"/>
    <x v="4"/>
    <s v="None"/>
    <x v="0"/>
    <n v="6"/>
    <n v="241.33"/>
    <s v="Referred"/>
  </r>
  <r>
    <n v="740"/>
    <n v="25"/>
    <x v="4"/>
    <s v="Female"/>
    <d v="2024-11-19T00:00:00"/>
    <s v="November"/>
    <s v="Outpatient"/>
    <x v="2"/>
    <s v="None"/>
    <x v="0"/>
    <n v="5"/>
    <n v="282.85000000000002"/>
    <s v="Recovered"/>
  </r>
  <r>
    <n v="741"/>
    <n v="53"/>
    <x v="3"/>
    <s v="Male"/>
    <d v="2023-03-11T00:00:00"/>
    <s v="March"/>
    <s v="Emergency"/>
    <x v="0"/>
    <s v="None"/>
    <x v="0"/>
    <n v="10"/>
    <n v="234.05"/>
    <s v="Referred"/>
  </r>
  <r>
    <n v="742"/>
    <n v="25"/>
    <x v="4"/>
    <s v="Male"/>
    <d v="2023-10-18T00:00:00"/>
    <s v="October"/>
    <s v="Emergency"/>
    <x v="4"/>
    <s v="None"/>
    <x v="0"/>
    <n v="1"/>
    <n v="47.3"/>
    <s v="Referred"/>
  </r>
  <r>
    <n v="743"/>
    <n v="16"/>
    <x v="2"/>
    <s v="Male"/>
    <d v="2024-09-05T00:00:00"/>
    <s v="September"/>
    <s v="Emergency"/>
    <x v="1"/>
    <s v="None"/>
    <x v="0"/>
    <n v="9"/>
    <n v="82.36"/>
    <s v="Referred"/>
  </r>
  <r>
    <n v="744"/>
    <n v="24"/>
    <x v="4"/>
    <s v="Female"/>
    <d v="2023-04-24T00:00:00"/>
    <s v="April"/>
    <s v="Internal Medicine"/>
    <x v="1"/>
    <s v="None"/>
    <x v="0"/>
    <n v="7"/>
    <n v="337.03"/>
    <s v="Recovered"/>
  </r>
  <r>
    <n v="745"/>
    <n v="36"/>
    <x v="3"/>
    <s v="Female"/>
    <d v="2024-10-16T00:00:00"/>
    <s v="October"/>
    <s v="Internal Medicine"/>
    <x v="3"/>
    <s v="Azithromycin"/>
    <x v="0"/>
    <n v="2"/>
    <n v="394.75"/>
    <s v="Admitted"/>
  </r>
  <r>
    <n v="746"/>
    <n v="50"/>
    <x v="3"/>
    <s v="Female"/>
    <d v="2023-03-05T00:00:00"/>
    <s v="March"/>
    <s v="Emergency"/>
    <x v="3"/>
    <s v="Azithromycin"/>
    <x v="0"/>
    <n v="4"/>
    <n v="105.41"/>
    <s v="Recovered"/>
  </r>
  <r>
    <n v="747"/>
    <n v="79"/>
    <x v="1"/>
    <s v="Female"/>
    <d v="2024-05-18T00:00:00"/>
    <s v="May"/>
    <s v="Outpatient"/>
    <x v="5"/>
    <s v="Ceftriaxone"/>
    <x v="0"/>
    <n v="1"/>
    <n v="89.06"/>
    <s v="Discharged"/>
  </r>
  <r>
    <n v="748"/>
    <n v="83"/>
    <x v="1"/>
    <s v="Male"/>
    <d v="2023-08-12T00:00:00"/>
    <s v="August"/>
    <s v="Pediatrics"/>
    <x v="2"/>
    <s v="None"/>
    <x v="0"/>
    <n v="4"/>
    <n v="69.58"/>
    <s v="Recovered"/>
  </r>
  <r>
    <n v="749"/>
    <n v="33"/>
    <x v="4"/>
    <s v="Female"/>
    <d v="2023-03-14T00:00:00"/>
    <s v="March"/>
    <s v="Emergency"/>
    <x v="2"/>
    <s v="None"/>
    <x v="0"/>
    <n v="7"/>
    <n v="91.45"/>
    <s v="Recovered"/>
  </r>
  <r>
    <n v="750"/>
    <n v="50"/>
    <x v="3"/>
    <s v="Female"/>
    <d v="2023-02-08T00:00:00"/>
    <s v="February"/>
    <s v="Outpatient"/>
    <x v="1"/>
    <s v="None"/>
    <x v="0"/>
    <n v="5"/>
    <n v="454.22"/>
    <s v="Recovered"/>
  </r>
  <r>
    <n v="751"/>
    <n v="63"/>
    <x v="1"/>
    <s v="Female"/>
    <d v="2024-06-11T00:00:00"/>
    <s v="June"/>
    <s v="Pediatrics"/>
    <x v="1"/>
    <s v="None"/>
    <x v="0"/>
    <n v="6"/>
    <n v="425.14"/>
    <s v="Recovered"/>
  </r>
  <r>
    <n v="752"/>
    <n v="1"/>
    <x v="0"/>
    <s v="Female"/>
    <d v="2024-07-07T00:00:00"/>
    <s v="July"/>
    <s v="Pediatrics"/>
    <x v="5"/>
    <s v="Amoxicillin"/>
    <x v="0"/>
    <n v="9"/>
    <n v="276.95"/>
    <s v="Admitted"/>
  </r>
  <r>
    <n v="753"/>
    <n v="39"/>
    <x v="3"/>
    <s v="Female"/>
    <d v="2023-12-08T00:00:00"/>
    <s v="December"/>
    <s v="Emergency"/>
    <x v="1"/>
    <s v="None"/>
    <x v="0"/>
    <n v="10"/>
    <n v="498.57"/>
    <s v="Recovered"/>
  </r>
  <r>
    <n v="754"/>
    <n v="44"/>
    <x v="3"/>
    <s v="Male"/>
    <d v="2024-01-10T00:00:00"/>
    <s v="January"/>
    <s v="Pediatrics"/>
    <x v="2"/>
    <s v="None"/>
    <x v="0"/>
    <n v="4"/>
    <n v="330.94"/>
    <s v="Referred"/>
  </r>
  <r>
    <n v="755"/>
    <n v="50"/>
    <x v="3"/>
    <s v="Male"/>
    <d v="2024-07-21T00:00:00"/>
    <s v="July"/>
    <s v="Internal Medicine"/>
    <x v="0"/>
    <s v="None"/>
    <x v="0"/>
    <n v="6"/>
    <n v="450.3"/>
    <s v="Admitted"/>
  </r>
  <r>
    <n v="756"/>
    <n v="81"/>
    <x v="1"/>
    <s v="Female"/>
    <d v="2024-05-13T00:00:00"/>
    <s v="May"/>
    <s v="Outpatient"/>
    <x v="0"/>
    <s v="None"/>
    <x v="0"/>
    <n v="2"/>
    <n v="37.14"/>
    <s v="Recovered"/>
  </r>
  <r>
    <n v="757"/>
    <n v="63"/>
    <x v="1"/>
    <s v="Female"/>
    <d v="2024-08-30T00:00:00"/>
    <s v="August"/>
    <s v="Emergency"/>
    <x v="5"/>
    <s v="None"/>
    <x v="0"/>
    <n v="10"/>
    <n v="167.71"/>
    <s v="Discharged"/>
  </r>
  <r>
    <n v="758"/>
    <n v="44"/>
    <x v="3"/>
    <s v="Male"/>
    <d v="2023-01-17T00:00:00"/>
    <s v="January"/>
    <s v="Internal Medicine"/>
    <x v="0"/>
    <s v="None"/>
    <x v="0"/>
    <n v="0"/>
    <n v="214.64"/>
    <s v="Referred"/>
  </r>
  <r>
    <n v="759"/>
    <n v="67"/>
    <x v="1"/>
    <s v="Female"/>
    <d v="2024-10-31T00:00:00"/>
    <s v="October"/>
    <s v="Outpatient"/>
    <x v="1"/>
    <s v="None"/>
    <x v="0"/>
    <n v="9"/>
    <n v="131.83000000000001"/>
    <s v="Recovered"/>
  </r>
  <r>
    <n v="760"/>
    <n v="19"/>
    <x v="2"/>
    <s v="Female"/>
    <d v="2023-02-07T00:00:00"/>
    <s v="February"/>
    <s v="Emergency"/>
    <x v="1"/>
    <s v="None"/>
    <x v="0"/>
    <n v="7"/>
    <n v="455.45"/>
    <s v="Recovered"/>
  </r>
  <r>
    <n v="761"/>
    <n v="84"/>
    <x v="1"/>
    <s v="Male"/>
    <d v="2023-09-06T00:00:00"/>
    <s v="September"/>
    <s v="Emergency"/>
    <x v="1"/>
    <s v="None"/>
    <x v="0"/>
    <n v="2"/>
    <n v="323.68"/>
    <s v="Admitted"/>
  </r>
  <r>
    <n v="762"/>
    <n v="79"/>
    <x v="1"/>
    <s v="Male"/>
    <d v="2023-04-10T00:00:00"/>
    <s v="April"/>
    <s v="Emergency"/>
    <x v="3"/>
    <s v="Amoxicillin"/>
    <x v="0"/>
    <n v="1"/>
    <n v="258.63"/>
    <s v="Referred"/>
  </r>
  <r>
    <n v="763"/>
    <n v="55"/>
    <x v="3"/>
    <s v="Female"/>
    <d v="2023-03-06T00:00:00"/>
    <s v="March"/>
    <s v="Pediatrics"/>
    <x v="5"/>
    <s v="Azithromycin"/>
    <x v="0"/>
    <n v="1"/>
    <n v="488.41"/>
    <s v="Referred"/>
  </r>
  <r>
    <n v="764"/>
    <n v="6"/>
    <x v="0"/>
    <s v="Male"/>
    <d v="2023-11-26T00:00:00"/>
    <s v="November"/>
    <s v="Internal Medicine"/>
    <x v="5"/>
    <s v="Amoxicillin"/>
    <x v="0"/>
    <n v="1"/>
    <n v="151.47"/>
    <s v="Discharged"/>
  </r>
  <r>
    <n v="765"/>
    <n v="48"/>
    <x v="3"/>
    <s v="Male"/>
    <d v="2023-06-22T00:00:00"/>
    <s v="June"/>
    <s v="Pediatrics"/>
    <x v="1"/>
    <s v="None"/>
    <x v="0"/>
    <n v="3"/>
    <n v="464.32"/>
    <s v="Recovered"/>
  </r>
  <r>
    <n v="766"/>
    <n v="81"/>
    <x v="1"/>
    <s v="Female"/>
    <d v="2023-05-17T00:00:00"/>
    <s v="May"/>
    <s v="Outpatient"/>
    <x v="0"/>
    <s v="None"/>
    <x v="0"/>
    <n v="0"/>
    <n v="442.22"/>
    <s v="Recovered"/>
  </r>
  <r>
    <n v="767"/>
    <n v="23"/>
    <x v="4"/>
    <s v="Male"/>
    <d v="2023-01-07T00:00:00"/>
    <s v="January"/>
    <s v="Internal Medicine"/>
    <x v="0"/>
    <s v="None"/>
    <x v="0"/>
    <n v="6"/>
    <n v="352.88"/>
    <s v="Discharged"/>
  </r>
  <r>
    <n v="768"/>
    <n v="27"/>
    <x v="4"/>
    <s v="Male"/>
    <d v="2024-12-09T00:00:00"/>
    <s v="December"/>
    <s v="Internal Medicine"/>
    <x v="5"/>
    <s v="None"/>
    <x v="0"/>
    <n v="7"/>
    <n v="217.78"/>
    <s v="Referred"/>
  </r>
  <r>
    <n v="769"/>
    <n v="5"/>
    <x v="0"/>
    <s v="Male"/>
    <d v="2024-09-17T00:00:00"/>
    <s v="September"/>
    <s v="Pediatrics"/>
    <x v="1"/>
    <s v="None"/>
    <x v="0"/>
    <n v="9"/>
    <n v="476.14"/>
    <s v="Admitted"/>
  </r>
  <r>
    <n v="770"/>
    <n v="1"/>
    <x v="0"/>
    <s v="Male"/>
    <d v="2023-12-23T00:00:00"/>
    <s v="December"/>
    <s v="Outpatient"/>
    <x v="3"/>
    <s v="Amoxicillin"/>
    <x v="0"/>
    <n v="8"/>
    <n v="488.86"/>
    <s v="Admitted"/>
  </r>
  <r>
    <n v="771"/>
    <n v="29"/>
    <x v="4"/>
    <s v="Female"/>
    <d v="2024-07-06T00:00:00"/>
    <s v="July"/>
    <s v="Outpatient"/>
    <x v="2"/>
    <s v="None"/>
    <x v="0"/>
    <n v="4"/>
    <n v="45.47"/>
    <s v="Recovered"/>
  </r>
  <r>
    <n v="772"/>
    <n v="61"/>
    <x v="1"/>
    <s v="Female"/>
    <d v="2023-06-02T00:00:00"/>
    <s v="June"/>
    <s v="Outpatient"/>
    <x v="1"/>
    <s v="None"/>
    <x v="0"/>
    <n v="2"/>
    <n v="341.67"/>
    <s v="Recovered"/>
  </r>
  <r>
    <n v="773"/>
    <n v="47"/>
    <x v="3"/>
    <s v="Female"/>
    <d v="2023-02-25T00:00:00"/>
    <s v="February"/>
    <s v="Outpatient"/>
    <x v="1"/>
    <s v="None"/>
    <x v="0"/>
    <n v="6"/>
    <n v="140.66"/>
    <s v="Discharged"/>
  </r>
  <r>
    <n v="774"/>
    <n v="7"/>
    <x v="0"/>
    <s v="Male"/>
    <d v="2023-02-14T00:00:00"/>
    <s v="February"/>
    <s v="Outpatient"/>
    <x v="0"/>
    <s v="None"/>
    <x v="0"/>
    <n v="0"/>
    <n v="252.83"/>
    <s v="Recovered"/>
  </r>
  <r>
    <n v="775"/>
    <n v="57"/>
    <x v="3"/>
    <s v="Female"/>
    <d v="2023-03-14T00:00:00"/>
    <s v="March"/>
    <s v="Pediatrics"/>
    <x v="5"/>
    <s v="Ciprofloxacin"/>
    <x v="0"/>
    <n v="10"/>
    <n v="451.22"/>
    <s v="Referred"/>
  </r>
  <r>
    <n v="776"/>
    <n v="30"/>
    <x v="4"/>
    <s v="Male"/>
    <d v="2023-04-23T00:00:00"/>
    <s v="April"/>
    <s v="Outpatient"/>
    <x v="4"/>
    <s v="Ceftriaxone"/>
    <x v="0"/>
    <n v="3"/>
    <n v="200.26"/>
    <s v="Referred"/>
  </r>
  <r>
    <n v="777"/>
    <n v="75"/>
    <x v="1"/>
    <s v="Female"/>
    <d v="2023-03-17T00:00:00"/>
    <s v="March"/>
    <s v="Emergency"/>
    <x v="3"/>
    <s v="Ceftriaxone"/>
    <x v="0"/>
    <n v="2"/>
    <n v="123.76"/>
    <s v="Discharged"/>
  </r>
  <r>
    <n v="778"/>
    <n v="48"/>
    <x v="3"/>
    <s v="Male"/>
    <d v="2023-07-02T00:00:00"/>
    <s v="July"/>
    <s v="Pediatrics"/>
    <x v="3"/>
    <s v="Ciprofloxacin"/>
    <x v="0"/>
    <n v="10"/>
    <n v="192.12"/>
    <s v="Admitted"/>
  </r>
  <r>
    <n v="779"/>
    <n v="17"/>
    <x v="2"/>
    <s v="Male"/>
    <d v="2023-07-27T00:00:00"/>
    <s v="July"/>
    <s v="Emergency"/>
    <x v="4"/>
    <s v="Azithromycin"/>
    <x v="0"/>
    <n v="2"/>
    <n v="73.33"/>
    <s v="Discharged"/>
  </r>
  <r>
    <n v="780"/>
    <n v="22"/>
    <x v="4"/>
    <s v="Female"/>
    <d v="2024-04-14T00:00:00"/>
    <s v="April"/>
    <s v="Outpatient"/>
    <x v="3"/>
    <s v="Azithromycin"/>
    <x v="0"/>
    <n v="9"/>
    <n v="95.26"/>
    <s v="Referred"/>
  </r>
  <r>
    <n v="781"/>
    <n v="30"/>
    <x v="4"/>
    <s v="Male"/>
    <d v="2024-08-14T00:00:00"/>
    <s v="August"/>
    <s v="Pediatrics"/>
    <x v="2"/>
    <s v="None"/>
    <x v="0"/>
    <n v="8"/>
    <n v="254.82"/>
    <s v="Referred"/>
  </r>
  <r>
    <n v="782"/>
    <n v="60"/>
    <x v="1"/>
    <s v="Female"/>
    <d v="2024-08-28T00:00:00"/>
    <s v="August"/>
    <s v="Emergency"/>
    <x v="3"/>
    <s v="Ceftriaxone"/>
    <x v="0"/>
    <n v="3"/>
    <n v="138.96"/>
    <s v="Discharged"/>
  </r>
  <r>
    <n v="783"/>
    <n v="76"/>
    <x v="1"/>
    <s v="Male"/>
    <d v="2024-08-16T00:00:00"/>
    <s v="August"/>
    <s v="Emergency"/>
    <x v="5"/>
    <s v="Ceftriaxone"/>
    <x v="0"/>
    <n v="0"/>
    <n v="39.229999999999997"/>
    <s v="Discharged"/>
  </r>
  <r>
    <n v="784"/>
    <n v="55"/>
    <x v="3"/>
    <s v="Female"/>
    <d v="2024-05-31T00:00:00"/>
    <s v="May"/>
    <s v="Pediatrics"/>
    <x v="0"/>
    <s v="None"/>
    <x v="0"/>
    <n v="1"/>
    <n v="237.17"/>
    <s v="Referred"/>
  </r>
  <r>
    <n v="785"/>
    <n v="2"/>
    <x v="0"/>
    <s v="Female"/>
    <d v="2023-03-27T00:00:00"/>
    <s v="March"/>
    <s v="Outpatient"/>
    <x v="2"/>
    <s v="None"/>
    <x v="0"/>
    <n v="2"/>
    <n v="192.03"/>
    <s v="Referred"/>
  </r>
  <r>
    <n v="786"/>
    <n v="3"/>
    <x v="0"/>
    <s v="Female"/>
    <d v="2024-10-25T00:00:00"/>
    <s v="October"/>
    <s v="Internal Medicine"/>
    <x v="0"/>
    <s v="None"/>
    <x v="0"/>
    <n v="2"/>
    <n v="357.59"/>
    <s v="Recovered"/>
  </r>
  <r>
    <n v="787"/>
    <n v="18"/>
    <x v="2"/>
    <s v="Female"/>
    <d v="2024-04-10T00:00:00"/>
    <s v="April"/>
    <s v="Outpatient"/>
    <x v="3"/>
    <s v="Azithromycin"/>
    <x v="0"/>
    <n v="10"/>
    <n v="242.86"/>
    <s v="Recovered"/>
  </r>
  <r>
    <n v="788"/>
    <n v="50"/>
    <x v="3"/>
    <s v="Female"/>
    <d v="2024-10-04T00:00:00"/>
    <s v="October"/>
    <s v="Emergency"/>
    <x v="0"/>
    <s v="None"/>
    <x v="0"/>
    <n v="4"/>
    <n v="224.43"/>
    <s v="Admitted"/>
  </r>
  <r>
    <n v="789"/>
    <n v="70"/>
    <x v="1"/>
    <s v="Male"/>
    <d v="2024-12-15T00:00:00"/>
    <s v="December"/>
    <s v="Emergency"/>
    <x v="2"/>
    <s v="None"/>
    <x v="0"/>
    <n v="9"/>
    <n v="442.81"/>
    <s v="Recovered"/>
  </r>
  <r>
    <n v="790"/>
    <n v="47"/>
    <x v="3"/>
    <s v="Male"/>
    <d v="2024-06-11T00:00:00"/>
    <s v="June"/>
    <s v="Emergency"/>
    <x v="1"/>
    <s v="None"/>
    <x v="0"/>
    <n v="6"/>
    <n v="195.48"/>
    <s v="Recovered"/>
  </r>
  <r>
    <n v="791"/>
    <n v="23"/>
    <x v="4"/>
    <s v="Male"/>
    <d v="2024-01-10T00:00:00"/>
    <s v="January"/>
    <s v="Outpatient"/>
    <x v="4"/>
    <s v="Ciprofloxacin"/>
    <x v="0"/>
    <n v="5"/>
    <n v="134.54"/>
    <s v="Recovered"/>
  </r>
  <r>
    <n v="792"/>
    <n v="75"/>
    <x v="1"/>
    <s v="Male"/>
    <d v="2024-10-26T00:00:00"/>
    <s v="October"/>
    <s v="Outpatient"/>
    <x v="3"/>
    <s v="Azithromycin"/>
    <x v="0"/>
    <n v="5"/>
    <n v="451.01"/>
    <s v="Discharged"/>
  </r>
  <r>
    <n v="793"/>
    <n v="9"/>
    <x v="0"/>
    <s v="Female"/>
    <d v="2023-10-11T00:00:00"/>
    <s v="October"/>
    <s v="Internal Medicine"/>
    <x v="0"/>
    <s v="None"/>
    <x v="0"/>
    <n v="7"/>
    <n v="253.39"/>
    <s v="Recovered"/>
  </r>
  <r>
    <n v="794"/>
    <n v="69"/>
    <x v="1"/>
    <s v="Female"/>
    <d v="2024-04-26T00:00:00"/>
    <s v="April"/>
    <s v="Pediatrics"/>
    <x v="1"/>
    <s v="None"/>
    <x v="0"/>
    <n v="9"/>
    <n v="196.71"/>
    <s v="Recovered"/>
  </r>
  <r>
    <n v="795"/>
    <n v="12"/>
    <x v="0"/>
    <s v="Male"/>
    <d v="2023-07-12T00:00:00"/>
    <s v="July"/>
    <s v="Pediatrics"/>
    <x v="3"/>
    <s v="Ciprofloxacin"/>
    <x v="0"/>
    <n v="4"/>
    <n v="479.96"/>
    <s v="Recovered"/>
  </r>
  <r>
    <n v="796"/>
    <n v="36"/>
    <x v="3"/>
    <s v="Male"/>
    <d v="2023-04-22T00:00:00"/>
    <s v="April"/>
    <s v="Outpatient"/>
    <x v="5"/>
    <s v="Ceftriaxone"/>
    <x v="0"/>
    <n v="2"/>
    <n v="440"/>
    <s v="Recovered"/>
  </r>
  <r>
    <n v="797"/>
    <n v="70"/>
    <x v="1"/>
    <s v="Male"/>
    <d v="2023-10-28T00:00:00"/>
    <s v="October"/>
    <s v="Pediatrics"/>
    <x v="3"/>
    <s v="Azithromycin"/>
    <x v="0"/>
    <n v="6"/>
    <n v="233.05"/>
    <s v="Recovered"/>
  </r>
  <r>
    <n v="798"/>
    <n v="9"/>
    <x v="0"/>
    <s v="Male"/>
    <d v="2023-10-26T00:00:00"/>
    <s v="October"/>
    <s v="Outpatient"/>
    <x v="5"/>
    <s v="None"/>
    <x v="0"/>
    <n v="10"/>
    <n v="181.22"/>
    <s v="Admitted"/>
  </r>
  <r>
    <n v="799"/>
    <n v="42"/>
    <x v="3"/>
    <s v="Female"/>
    <d v="2024-11-02T00:00:00"/>
    <s v="November"/>
    <s v="Pediatrics"/>
    <x v="1"/>
    <s v="None"/>
    <x v="0"/>
    <n v="7"/>
    <n v="165.96"/>
    <s v="Referred"/>
  </r>
  <r>
    <n v="800"/>
    <n v="34"/>
    <x v="4"/>
    <s v="Male"/>
    <d v="2023-11-10T00:00:00"/>
    <s v="November"/>
    <s v="Pediatrics"/>
    <x v="5"/>
    <s v="Azithromycin"/>
    <x v="0"/>
    <n v="4"/>
    <n v="389.48"/>
    <s v="Recovered"/>
  </r>
  <r>
    <n v="801"/>
    <n v="37"/>
    <x v="3"/>
    <s v="Female"/>
    <d v="2023-06-01T00:00:00"/>
    <s v="June"/>
    <s v="Outpatient"/>
    <x v="4"/>
    <s v="None"/>
    <x v="0"/>
    <n v="2"/>
    <n v="361.67"/>
    <s v="Admitted"/>
  </r>
  <r>
    <n v="802"/>
    <n v="20"/>
    <x v="4"/>
    <s v="Male"/>
    <d v="2023-07-06T00:00:00"/>
    <s v="July"/>
    <s v="Outpatient"/>
    <x v="5"/>
    <s v="Amoxicillin"/>
    <x v="0"/>
    <n v="0"/>
    <n v="497.01"/>
    <s v="Referred"/>
  </r>
  <r>
    <n v="803"/>
    <n v="48"/>
    <x v="3"/>
    <s v="Male"/>
    <d v="2024-03-27T00:00:00"/>
    <s v="March"/>
    <s v="Outpatient"/>
    <x v="4"/>
    <s v="None"/>
    <x v="0"/>
    <n v="0"/>
    <n v="339.47"/>
    <s v="Admitted"/>
  </r>
  <r>
    <n v="804"/>
    <n v="58"/>
    <x v="3"/>
    <s v="Male"/>
    <d v="2023-06-01T00:00:00"/>
    <s v="June"/>
    <s v="Internal Medicine"/>
    <x v="4"/>
    <s v="Amoxicillin"/>
    <x v="0"/>
    <n v="0"/>
    <n v="214.19"/>
    <s v="Discharged"/>
  </r>
  <r>
    <n v="805"/>
    <n v="41"/>
    <x v="3"/>
    <s v="Male"/>
    <d v="2023-05-29T00:00:00"/>
    <s v="May"/>
    <s v="Emergency"/>
    <x v="3"/>
    <s v="None"/>
    <x v="0"/>
    <n v="8"/>
    <n v="179.01"/>
    <s v="Admitted"/>
  </r>
  <r>
    <n v="806"/>
    <n v="74"/>
    <x v="1"/>
    <s v="Male"/>
    <d v="2024-04-30T00:00:00"/>
    <s v="April"/>
    <s v="Pediatrics"/>
    <x v="4"/>
    <s v="Azithromycin"/>
    <x v="0"/>
    <n v="1"/>
    <n v="371.19"/>
    <s v="Recovered"/>
  </r>
  <r>
    <n v="807"/>
    <n v="71"/>
    <x v="1"/>
    <s v="Male"/>
    <d v="2023-05-23T00:00:00"/>
    <s v="May"/>
    <s v="Internal Medicine"/>
    <x v="1"/>
    <s v="None"/>
    <x v="0"/>
    <n v="0"/>
    <n v="212.78"/>
    <s v="Referred"/>
  </r>
  <r>
    <n v="808"/>
    <n v="12"/>
    <x v="0"/>
    <s v="Female"/>
    <d v="2024-04-01T00:00:00"/>
    <s v="April"/>
    <s v="Emergency"/>
    <x v="4"/>
    <s v="None"/>
    <x v="0"/>
    <n v="10"/>
    <n v="113.67"/>
    <s v="Referred"/>
  </r>
  <r>
    <n v="809"/>
    <n v="3"/>
    <x v="0"/>
    <s v="Male"/>
    <d v="2023-10-12T00:00:00"/>
    <s v="October"/>
    <s v="Pediatrics"/>
    <x v="5"/>
    <s v="Amoxicillin"/>
    <x v="0"/>
    <n v="8"/>
    <n v="209.32"/>
    <s v="Discharged"/>
  </r>
  <r>
    <n v="810"/>
    <n v="78"/>
    <x v="1"/>
    <s v="Male"/>
    <d v="2023-11-22T00:00:00"/>
    <s v="November"/>
    <s v="Internal Medicine"/>
    <x v="2"/>
    <s v="None"/>
    <x v="0"/>
    <n v="6"/>
    <n v="91.01"/>
    <s v="Discharged"/>
  </r>
  <r>
    <n v="811"/>
    <n v="48"/>
    <x v="3"/>
    <s v="Male"/>
    <d v="2024-01-14T00:00:00"/>
    <s v="January"/>
    <s v="Internal Medicine"/>
    <x v="3"/>
    <s v="Azithromycin"/>
    <x v="0"/>
    <n v="5"/>
    <n v="167.88"/>
    <s v="Discharged"/>
  </r>
  <r>
    <n v="812"/>
    <n v="28"/>
    <x v="4"/>
    <s v="Female"/>
    <d v="2024-07-28T00:00:00"/>
    <s v="July"/>
    <s v="Pediatrics"/>
    <x v="0"/>
    <s v="None"/>
    <x v="0"/>
    <n v="7"/>
    <n v="158.54"/>
    <s v="Discharged"/>
  </r>
  <r>
    <n v="813"/>
    <n v="76"/>
    <x v="1"/>
    <s v="Male"/>
    <d v="2024-02-29T00:00:00"/>
    <s v="February"/>
    <s v="Outpatient"/>
    <x v="5"/>
    <s v="Ciprofloxacin"/>
    <x v="0"/>
    <n v="4"/>
    <n v="247.81"/>
    <s v="Admitted"/>
  </r>
  <r>
    <n v="814"/>
    <n v="49"/>
    <x v="3"/>
    <s v="Male"/>
    <d v="2023-03-09T00:00:00"/>
    <s v="March"/>
    <s v="Emergency"/>
    <x v="2"/>
    <s v="None"/>
    <x v="0"/>
    <n v="6"/>
    <n v="326.63"/>
    <s v="Admitted"/>
  </r>
  <r>
    <n v="815"/>
    <n v="72"/>
    <x v="1"/>
    <s v="Female"/>
    <d v="2024-02-29T00:00:00"/>
    <s v="February"/>
    <s v="Outpatient"/>
    <x v="5"/>
    <s v="Ciprofloxacin"/>
    <x v="0"/>
    <n v="2"/>
    <n v="419.5"/>
    <s v="Admitted"/>
  </r>
  <r>
    <n v="816"/>
    <n v="6"/>
    <x v="0"/>
    <s v="Female"/>
    <d v="2024-07-21T00:00:00"/>
    <s v="July"/>
    <s v="Internal Medicine"/>
    <x v="3"/>
    <s v="Ceftriaxone"/>
    <x v="0"/>
    <n v="8"/>
    <n v="375.13"/>
    <s v="Referred"/>
  </r>
  <r>
    <n v="817"/>
    <n v="20"/>
    <x v="4"/>
    <s v="Female"/>
    <d v="2023-01-28T00:00:00"/>
    <s v="January"/>
    <s v="Internal Medicine"/>
    <x v="0"/>
    <s v="None"/>
    <x v="0"/>
    <n v="10"/>
    <n v="420.44"/>
    <s v="Discharged"/>
  </r>
  <r>
    <n v="818"/>
    <n v="37"/>
    <x v="3"/>
    <s v="Female"/>
    <d v="2023-05-08T00:00:00"/>
    <s v="May"/>
    <s v="Outpatient"/>
    <x v="1"/>
    <s v="None"/>
    <x v="0"/>
    <n v="7"/>
    <n v="455.26"/>
    <s v="Referred"/>
  </r>
  <r>
    <n v="819"/>
    <n v="36"/>
    <x v="3"/>
    <s v="Female"/>
    <d v="2023-01-30T00:00:00"/>
    <s v="January"/>
    <s v="Emergency"/>
    <x v="0"/>
    <s v="None"/>
    <x v="0"/>
    <n v="9"/>
    <n v="377.87"/>
    <s v="Discharged"/>
  </r>
  <r>
    <n v="820"/>
    <n v="34"/>
    <x v="4"/>
    <s v="Female"/>
    <d v="2024-08-02T00:00:00"/>
    <s v="August"/>
    <s v="Emergency"/>
    <x v="3"/>
    <s v="Azithromycin"/>
    <x v="0"/>
    <n v="8"/>
    <n v="371.82"/>
    <s v="Recovered"/>
  </r>
  <r>
    <n v="821"/>
    <n v="75"/>
    <x v="1"/>
    <s v="Male"/>
    <d v="2023-09-23T00:00:00"/>
    <s v="September"/>
    <s v="Outpatient"/>
    <x v="5"/>
    <s v="Azithromycin"/>
    <x v="0"/>
    <n v="7"/>
    <n v="441.59"/>
    <s v="Referred"/>
  </r>
  <r>
    <n v="822"/>
    <n v="7"/>
    <x v="0"/>
    <s v="Female"/>
    <d v="2024-01-01T00:00:00"/>
    <s v="January"/>
    <s v="Internal Medicine"/>
    <x v="5"/>
    <s v="Ceftriaxone"/>
    <x v="0"/>
    <n v="10"/>
    <n v="457.81"/>
    <s v="Admitted"/>
  </r>
  <r>
    <n v="823"/>
    <n v="38"/>
    <x v="3"/>
    <s v="Male"/>
    <d v="2023-02-19T00:00:00"/>
    <s v="February"/>
    <s v="Outpatient"/>
    <x v="4"/>
    <s v="Ciprofloxacin"/>
    <x v="0"/>
    <n v="1"/>
    <n v="307.41000000000003"/>
    <s v="Referred"/>
  </r>
  <r>
    <n v="824"/>
    <n v="41"/>
    <x v="3"/>
    <s v="Female"/>
    <d v="2024-07-10T00:00:00"/>
    <s v="July"/>
    <s v="Internal Medicine"/>
    <x v="4"/>
    <s v="Azithromycin"/>
    <x v="0"/>
    <n v="1"/>
    <n v="276.52"/>
    <s v="Admitted"/>
  </r>
  <r>
    <n v="825"/>
    <n v="18"/>
    <x v="2"/>
    <s v="Female"/>
    <d v="2023-05-28T00:00:00"/>
    <s v="May"/>
    <s v="Internal Medicine"/>
    <x v="0"/>
    <s v="None"/>
    <x v="0"/>
    <n v="7"/>
    <n v="217.76"/>
    <s v="Referred"/>
  </r>
  <r>
    <n v="826"/>
    <n v="20"/>
    <x v="4"/>
    <s v="Male"/>
    <d v="2023-04-15T00:00:00"/>
    <s v="April"/>
    <s v="Outpatient"/>
    <x v="5"/>
    <s v="None"/>
    <x v="0"/>
    <n v="9"/>
    <n v="351.03"/>
    <s v="Recovered"/>
  </r>
  <r>
    <n v="827"/>
    <n v="10"/>
    <x v="0"/>
    <s v="Male"/>
    <d v="2024-03-03T00:00:00"/>
    <s v="March"/>
    <s v="Outpatient"/>
    <x v="3"/>
    <s v="Amoxicillin"/>
    <x v="0"/>
    <n v="7"/>
    <n v="187.14"/>
    <s v="Admitted"/>
  </r>
  <r>
    <n v="828"/>
    <n v="77"/>
    <x v="1"/>
    <s v="Female"/>
    <d v="2023-05-23T00:00:00"/>
    <s v="May"/>
    <s v="Outpatient"/>
    <x v="3"/>
    <s v="Azithromycin"/>
    <x v="0"/>
    <n v="0"/>
    <n v="377.34"/>
    <s v="Recovered"/>
  </r>
  <r>
    <n v="829"/>
    <n v="19"/>
    <x v="2"/>
    <s v="Male"/>
    <d v="2023-08-16T00:00:00"/>
    <s v="August"/>
    <s v="Internal Medicine"/>
    <x v="5"/>
    <s v="Ciprofloxacin"/>
    <x v="0"/>
    <n v="3"/>
    <n v="82.5"/>
    <s v="Recovered"/>
  </r>
  <r>
    <n v="830"/>
    <n v="15"/>
    <x v="2"/>
    <s v="Male"/>
    <d v="2024-03-11T00:00:00"/>
    <s v="March"/>
    <s v="Emergency"/>
    <x v="1"/>
    <s v="None"/>
    <x v="0"/>
    <n v="7"/>
    <n v="383.52"/>
    <s v="Recovered"/>
  </r>
  <r>
    <n v="831"/>
    <n v="5"/>
    <x v="0"/>
    <s v="Male"/>
    <d v="2023-07-21T00:00:00"/>
    <s v="July"/>
    <s v="Pediatrics"/>
    <x v="0"/>
    <s v="None"/>
    <x v="0"/>
    <n v="1"/>
    <n v="456.09"/>
    <s v="Recovered"/>
  </r>
  <r>
    <n v="832"/>
    <n v="2"/>
    <x v="0"/>
    <s v="Male"/>
    <d v="2023-03-09T00:00:00"/>
    <s v="March"/>
    <s v="Emergency"/>
    <x v="4"/>
    <s v="None"/>
    <x v="0"/>
    <n v="3"/>
    <n v="302.05"/>
    <s v="Referred"/>
  </r>
  <r>
    <n v="833"/>
    <n v="45"/>
    <x v="3"/>
    <s v="Male"/>
    <d v="2023-07-09T00:00:00"/>
    <s v="July"/>
    <s v="Emergency"/>
    <x v="1"/>
    <s v="None"/>
    <x v="0"/>
    <n v="2"/>
    <n v="426.01"/>
    <s v="Admitted"/>
  </r>
  <r>
    <n v="834"/>
    <n v="46"/>
    <x v="3"/>
    <s v="Male"/>
    <d v="2024-08-16T00:00:00"/>
    <s v="August"/>
    <s v="Outpatient"/>
    <x v="4"/>
    <s v="None"/>
    <x v="0"/>
    <n v="9"/>
    <n v="52.8"/>
    <s v="Recovered"/>
  </r>
  <r>
    <n v="835"/>
    <n v="25"/>
    <x v="4"/>
    <s v="Female"/>
    <d v="2024-06-25T00:00:00"/>
    <s v="June"/>
    <s v="Outpatient"/>
    <x v="5"/>
    <s v="None"/>
    <x v="0"/>
    <n v="0"/>
    <n v="487.32"/>
    <s v="Recovered"/>
  </r>
  <r>
    <n v="836"/>
    <n v="61"/>
    <x v="1"/>
    <s v="Female"/>
    <d v="2023-08-08T00:00:00"/>
    <s v="August"/>
    <s v="Outpatient"/>
    <x v="2"/>
    <s v="None"/>
    <x v="0"/>
    <n v="7"/>
    <n v="343.29"/>
    <s v="Recovered"/>
  </r>
  <r>
    <n v="837"/>
    <n v="49"/>
    <x v="3"/>
    <s v="Female"/>
    <d v="2023-07-05T00:00:00"/>
    <s v="July"/>
    <s v="Outpatient"/>
    <x v="4"/>
    <s v="None"/>
    <x v="0"/>
    <n v="3"/>
    <n v="215.64"/>
    <s v="Admitted"/>
  </r>
  <r>
    <n v="838"/>
    <n v="15"/>
    <x v="2"/>
    <s v="Male"/>
    <d v="2023-05-07T00:00:00"/>
    <s v="May"/>
    <s v="Pediatrics"/>
    <x v="3"/>
    <s v="Azithromycin"/>
    <x v="0"/>
    <n v="4"/>
    <n v="287.42"/>
    <s v="Recovered"/>
  </r>
  <r>
    <n v="839"/>
    <n v="64"/>
    <x v="1"/>
    <s v="Male"/>
    <d v="2023-03-26T00:00:00"/>
    <s v="March"/>
    <s v="Pediatrics"/>
    <x v="4"/>
    <s v="Azithromycin"/>
    <x v="0"/>
    <n v="7"/>
    <n v="308.19"/>
    <s v="Admitted"/>
  </r>
  <r>
    <n v="840"/>
    <n v="29"/>
    <x v="4"/>
    <s v="Female"/>
    <d v="2024-12-04T00:00:00"/>
    <s v="December"/>
    <s v="Internal Medicine"/>
    <x v="3"/>
    <s v="Ceftriaxone"/>
    <x v="0"/>
    <n v="3"/>
    <n v="431.25"/>
    <s v="Discharged"/>
  </r>
  <r>
    <n v="841"/>
    <n v="23"/>
    <x v="4"/>
    <s v="Male"/>
    <d v="2024-11-26T00:00:00"/>
    <s v="November"/>
    <s v="Pediatrics"/>
    <x v="4"/>
    <s v="Amoxicillin"/>
    <x v="0"/>
    <n v="6"/>
    <n v="230.27"/>
    <s v="Recovered"/>
  </r>
  <r>
    <n v="842"/>
    <n v="51"/>
    <x v="3"/>
    <s v="Female"/>
    <d v="2023-05-03T00:00:00"/>
    <s v="May"/>
    <s v="Emergency"/>
    <x v="5"/>
    <s v="Ciprofloxacin"/>
    <x v="0"/>
    <n v="1"/>
    <n v="194.58"/>
    <s v="Referred"/>
  </r>
  <r>
    <n v="843"/>
    <n v="77"/>
    <x v="1"/>
    <s v="Female"/>
    <d v="2023-12-13T00:00:00"/>
    <s v="December"/>
    <s v="Emergency"/>
    <x v="5"/>
    <s v="Ciprofloxacin"/>
    <x v="0"/>
    <n v="6"/>
    <n v="368.1"/>
    <s v="Admitted"/>
  </r>
  <r>
    <n v="844"/>
    <n v="76"/>
    <x v="1"/>
    <s v="Female"/>
    <d v="2024-12-31T00:00:00"/>
    <s v="December"/>
    <s v="Pediatrics"/>
    <x v="2"/>
    <s v="None"/>
    <x v="0"/>
    <n v="5"/>
    <n v="248.4"/>
    <s v="Discharged"/>
  </r>
  <r>
    <n v="845"/>
    <n v="36"/>
    <x v="3"/>
    <s v="Male"/>
    <d v="2024-05-11T00:00:00"/>
    <s v="May"/>
    <s v="Pediatrics"/>
    <x v="2"/>
    <s v="None"/>
    <x v="0"/>
    <n v="1"/>
    <n v="78.650000000000006"/>
    <s v="Discharged"/>
  </r>
  <r>
    <n v="846"/>
    <n v="81"/>
    <x v="1"/>
    <s v="Male"/>
    <d v="2024-05-24T00:00:00"/>
    <s v="May"/>
    <s v="Emergency"/>
    <x v="5"/>
    <s v="Amoxicillin"/>
    <x v="0"/>
    <n v="0"/>
    <n v="418.55"/>
    <s v="Discharged"/>
  </r>
  <r>
    <n v="847"/>
    <n v="23"/>
    <x v="4"/>
    <s v="Female"/>
    <d v="2024-11-25T00:00:00"/>
    <s v="November"/>
    <s v="Internal Medicine"/>
    <x v="0"/>
    <s v="None"/>
    <x v="0"/>
    <n v="2"/>
    <n v="165.32"/>
    <s v="Recovered"/>
  </r>
  <r>
    <n v="848"/>
    <n v="67"/>
    <x v="1"/>
    <s v="Female"/>
    <d v="2023-03-20T00:00:00"/>
    <s v="March"/>
    <s v="Pediatrics"/>
    <x v="1"/>
    <s v="None"/>
    <x v="0"/>
    <n v="3"/>
    <n v="160.91"/>
    <s v="Discharged"/>
  </r>
  <r>
    <n v="849"/>
    <n v="34"/>
    <x v="4"/>
    <s v="Female"/>
    <d v="2024-05-17T00:00:00"/>
    <s v="May"/>
    <s v="Emergency"/>
    <x v="2"/>
    <s v="None"/>
    <x v="0"/>
    <n v="0"/>
    <n v="495.54"/>
    <s v="Recovered"/>
  </r>
  <r>
    <n v="850"/>
    <n v="41"/>
    <x v="3"/>
    <s v="Female"/>
    <d v="2024-01-28T00:00:00"/>
    <s v="January"/>
    <s v="Pediatrics"/>
    <x v="3"/>
    <s v="Ceftriaxone"/>
    <x v="0"/>
    <n v="0"/>
    <n v="35.770000000000003"/>
    <s v="Admitted"/>
  </r>
  <r>
    <n v="851"/>
    <n v="63"/>
    <x v="1"/>
    <s v="Female"/>
    <d v="2024-12-24T00:00:00"/>
    <s v="December"/>
    <s v="Outpatient"/>
    <x v="5"/>
    <s v="Azithromycin"/>
    <x v="0"/>
    <n v="6"/>
    <n v="253.98"/>
    <s v="Recovered"/>
  </r>
  <r>
    <n v="852"/>
    <n v="63"/>
    <x v="1"/>
    <s v="Female"/>
    <d v="2024-08-05T00:00:00"/>
    <s v="August"/>
    <s v="Pediatrics"/>
    <x v="1"/>
    <s v="None"/>
    <x v="0"/>
    <n v="8"/>
    <n v="430.09"/>
    <s v="Recovered"/>
  </r>
  <r>
    <n v="853"/>
    <n v="64"/>
    <x v="1"/>
    <s v="Female"/>
    <d v="2024-02-05T00:00:00"/>
    <s v="February"/>
    <s v="Internal Medicine"/>
    <x v="4"/>
    <s v="Azithromycin"/>
    <x v="0"/>
    <n v="5"/>
    <n v="49.48"/>
    <s v="Recovered"/>
  </r>
  <r>
    <n v="854"/>
    <n v="45"/>
    <x v="3"/>
    <s v="Male"/>
    <d v="2023-05-12T00:00:00"/>
    <s v="May"/>
    <s v="Internal Medicine"/>
    <x v="4"/>
    <s v="Ceftriaxone"/>
    <x v="0"/>
    <n v="1"/>
    <n v="225.51"/>
    <s v="Admitted"/>
  </r>
  <r>
    <n v="855"/>
    <n v="8"/>
    <x v="0"/>
    <s v="Male"/>
    <d v="2024-02-26T00:00:00"/>
    <s v="February"/>
    <s v="Outpatient"/>
    <x v="4"/>
    <s v="Ciprofloxacin"/>
    <x v="0"/>
    <n v="10"/>
    <n v="169.81"/>
    <s v="Recovered"/>
  </r>
  <r>
    <n v="856"/>
    <n v="40"/>
    <x v="3"/>
    <s v="Male"/>
    <d v="2024-12-05T00:00:00"/>
    <s v="December"/>
    <s v="Internal Medicine"/>
    <x v="0"/>
    <s v="None"/>
    <x v="0"/>
    <n v="2"/>
    <n v="29.46"/>
    <s v="Admitted"/>
  </r>
  <r>
    <n v="857"/>
    <n v="85"/>
    <x v="1"/>
    <s v="Female"/>
    <d v="2023-02-08T00:00:00"/>
    <s v="February"/>
    <s v="Pediatrics"/>
    <x v="3"/>
    <s v="Azithromycin"/>
    <x v="0"/>
    <n v="0"/>
    <n v="354.06"/>
    <s v="Recovered"/>
  </r>
  <r>
    <n v="858"/>
    <n v="74"/>
    <x v="1"/>
    <s v="Female"/>
    <d v="2023-11-21T00:00:00"/>
    <s v="November"/>
    <s v="Internal Medicine"/>
    <x v="3"/>
    <s v="None"/>
    <x v="0"/>
    <n v="1"/>
    <n v="408"/>
    <s v="Recovered"/>
  </r>
  <r>
    <n v="859"/>
    <n v="27"/>
    <x v="4"/>
    <s v="Female"/>
    <d v="2024-12-08T00:00:00"/>
    <s v="December"/>
    <s v="Pediatrics"/>
    <x v="1"/>
    <s v="None"/>
    <x v="0"/>
    <n v="8"/>
    <n v="409.5"/>
    <s v="Admitted"/>
  </r>
  <r>
    <n v="860"/>
    <n v="39"/>
    <x v="3"/>
    <s v="Female"/>
    <d v="2023-06-20T00:00:00"/>
    <s v="June"/>
    <s v="Pediatrics"/>
    <x v="2"/>
    <s v="None"/>
    <x v="0"/>
    <n v="3"/>
    <n v="258.54000000000002"/>
    <s v="Recovered"/>
  </r>
  <r>
    <n v="861"/>
    <n v="37"/>
    <x v="3"/>
    <s v="Female"/>
    <d v="2024-07-02T00:00:00"/>
    <s v="July"/>
    <s v="Emergency"/>
    <x v="5"/>
    <s v="Azithromycin"/>
    <x v="0"/>
    <n v="9"/>
    <n v="212.97"/>
    <s v="Referred"/>
  </r>
  <r>
    <n v="862"/>
    <n v="12"/>
    <x v="0"/>
    <s v="Male"/>
    <d v="2024-10-01T00:00:00"/>
    <s v="October"/>
    <s v="Internal Medicine"/>
    <x v="1"/>
    <s v="None"/>
    <x v="0"/>
    <n v="4"/>
    <n v="52.29"/>
    <s v="Discharged"/>
  </r>
  <r>
    <n v="863"/>
    <n v="45"/>
    <x v="3"/>
    <s v="Male"/>
    <d v="2024-03-13T00:00:00"/>
    <s v="March"/>
    <s v="Internal Medicine"/>
    <x v="5"/>
    <s v="None"/>
    <x v="0"/>
    <n v="4"/>
    <n v="227.8"/>
    <s v="Admitted"/>
  </r>
  <r>
    <n v="864"/>
    <n v="52"/>
    <x v="3"/>
    <s v="Female"/>
    <d v="2023-07-24T00:00:00"/>
    <s v="July"/>
    <s v="Pediatrics"/>
    <x v="3"/>
    <s v="None"/>
    <x v="0"/>
    <n v="2"/>
    <n v="442.83"/>
    <s v="Referred"/>
  </r>
  <r>
    <n v="865"/>
    <n v="28"/>
    <x v="4"/>
    <s v="Female"/>
    <d v="2024-08-13T00:00:00"/>
    <s v="August"/>
    <s v="Internal Medicine"/>
    <x v="3"/>
    <s v="None"/>
    <x v="0"/>
    <n v="9"/>
    <n v="429.33"/>
    <s v="Discharged"/>
  </r>
  <r>
    <n v="866"/>
    <n v="81"/>
    <x v="1"/>
    <s v="Male"/>
    <d v="2024-08-02T00:00:00"/>
    <s v="August"/>
    <s v="Outpatient"/>
    <x v="1"/>
    <s v="None"/>
    <x v="0"/>
    <n v="5"/>
    <n v="241.99"/>
    <s v="Referred"/>
  </r>
  <r>
    <n v="867"/>
    <n v="39"/>
    <x v="3"/>
    <s v="Female"/>
    <d v="2023-06-04T00:00:00"/>
    <s v="June"/>
    <s v="Pediatrics"/>
    <x v="1"/>
    <s v="None"/>
    <x v="0"/>
    <n v="5"/>
    <n v="432.89"/>
    <s v="Recovered"/>
  </r>
  <r>
    <n v="868"/>
    <n v="53"/>
    <x v="3"/>
    <s v="Female"/>
    <d v="2024-10-11T00:00:00"/>
    <s v="October"/>
    <s v="Internal Medicine"/>
    <x v="5"/>
    <s v="Ciprofloxacin"/>
    <x v="0"/>
    <n v="4"/>
    <n v="349.69"/>
    <s v="Referred"/>
  </r>
  <r>
    <n v="869"/>
    <n v="15"/>
    <x v="2"/>
    <s v="Male"/>
    <d v="2024-02-20T00:00:00"/>
    <s v="February"/>
    <s v="Outpatient"/>
    <x v="5"/>
    <s v="Amoxicillin"/>
    <x v="0"/>
    <n v="3"/>
    <n v="402.58"/>
    <s v="Admitted"/>
  </r>
  <r>
    <n v="870"/>
    <n v="72"/>
    <x v="1"/>
    <s v="Female"/>
    <d v="2024-04-20T00:00:00"/>
    <s v="April"/>
    <s v="Pediatrics"/>
    <x v="3"/>
    <s v="Amoxicillin"/>
    <x v="0"/>
    <n v="3"/>
    <n v="96.49"/>
    <s v="Referred"/>
  </r>
  <r>
    <n v="871"/>
    <n v="36"/>
    <x v="3"/>
    <s v="Male"/>
    <d v="2023-01-30T00:00:00"/>
    <s v="January"/>
    <s v="Emergency"/>
    <x v="4"/>
    <s v="Ceftriaxone"/>
    <x v="0"/>
    <n v="0"/>
    <n v="46.56"/>
    <s v="Recovered"/>
  </r>
  <r>
    <n v="872"/>
    <n v="39"/>
    <x v="3"/>
    <s v="Male"/>
    <d v="2023-11-18T00:00:00"/>
    <s v="November"/>
    <s v="Pediatrics"/>
    <x v="2"/>
    <s v="None"/>
    <x v="0"/>
    <n v="5"/>
    <n v="342.4"/>
    <s v="Recovered"/>
  </r>
  <r>
    <n v="873"/>
    <n v="18"/>
    <x v="2"/>
    <s v="Male"/>
    <d v="2024-02-11T00:00:00"/>
    <s v="February"/>
    <s v="Emergency"/>
    <x v="1"/>
    <s v="None"/>
    <x v="0"/>
    <n v="9"/>
    <n v="372.55"/>
    <s v="Recovered"/>
  </r>
  <r>
    <n v="874"/>
    <n v="75"/>
    <x v="1"/>
    <s v="Female"/>
    <d v="2024-06-18T00:00:00"/>
    <s v="June"/>
    <s v="Pediatrics"/>
    <x v="1"/>
    <s v="None"/>
    <x v="0"/>
    <n v="1"/>
    <n v="134.28"/>
    <s v="Recovered"/>
  </r>
  <r>
    <n v="875"/>
    <n v="75"/>
    <x v="1"/>
    <s v="Female"/>
    <d v="2023-11-17T00:00:00"/>
    <s v="November"/>
    <s v="Outpatient"/>
    <x v="4"/>
    <s v="Ceftriaxone"/>
    <x v="0"/>
    <n v="3"/>
    <n v="89.25"/>
    <s v="Referred"/>
  </r>
  <r>
    <n v="876"/>
    <n v="57"/>
    <x v="3"/>
    <s v="Female"/>
    <d v="2023-08-08T00:00:00"/>
    <s v="August"/>
    <s v="Internal Medicine"/>
    <x v="4"/>
    <s v="None"/>
    <x v="0"/>
    <n v="0"/>
    <n v="255.37"/>
    <s v="Admitted"/>
  </r>
  <r>
    <n v="877"/>
    <n v="41"/>
    <x v="3"/>
    <s v="Female"/>
    <d v="2024-12-17T00:00:00"/>
    <s v="December"/>
    <s v="Pediatrics"/>
    <x v="0"/>
    <s v="None"/>
    <x v="0"/>
    <n v="10"/>
    <n v="138.25"/>
    <s v="Admitted"/>
  </r>
  <r>
    <n v="878"/>
    <n v="61"/>
    <x v="1"/>
    <s v="Female"/>
    <d v="2023-05-29T00:00:00"/>
    <s v="May"/>
    <s v="Internal Medicine"/>
    <x v="4"/>
    <s v="Amoxicillin"/>
    <x v="0"/>
    <n v="10"/>
    <n v="484.07"/>
    <s v="Recovered"/>
  </r>
  <r>
    <n v="879"/>
    <n v="31"/>
    <x v="4"/>
    <s v="Female"/>
    <d v="2024-11-09T00:00:00"/>
    <s v="November"/>
    <s v="Pediatrics"/>
    <x v="0"/>
    <s v="None"/>
    <x v="0"/>
    <n v="4"/>
    <n v="326.7"/>
    <s v="Admitted"/>
  </r>
  <r>
    <n v="880"/>
    <n v="69"/>
    <x v="1"/>
    <s v="Male"/>
    <d v="2024-12-02T00:00:00"/>
    <s v="December"/>
    <s v="Pediatrics"/>
    <x v="0"/>
    <s v="None"/>
    <x v="0"/>
    <n v="6"/>
    <n v="23.78"/>
    <s v="Discharged"/>
  </r>
  <r>
    <n v="881"/>
    <n v="12"/>
    <x v="0"/>
    <s v="Male"/>
    <d v="2023-09-19T00:00:00"/>
    <s v="September"/>
    <s v="Internal Medicine"/>
    <x v="4"/>
    <s v="Ciprofloxacin"/>
    <x v="0"/>
    <n v="2"/>
    <n v="459.63"/>
    <s v="Admitted"/>
  </r>
  <r>
    <n v="882"/>
    <n v="5"/>
    <x v="0"/>
    <s v="Female"/>
    <d v="2024-10-21T00:00:00"/>
    <s v="October"/>
    <s v="Emergency"/>
    <x v="3"/>
    <s v="Ceftriaxone"/>
    <x v="0"/>
    <n v="7"/>
    <n v="373.73"/>
    <s v="Admitted"/>
  </r>
  <r>
    <n v="883"/>
    <n v="21"/>
    <x v="4"/>
    <s v="Female"/>
    <d v="2024-03-08T00:00:00"/>
    <s v="March"/>
    <s v="Emergency"/>
    <x v="0"/>
    <s v="None"/>
    <x v="0"/>
    <n v="5"/>
    <n v="222.02"/>
    <s v="Admitted"/>
  </r>
  <r>
    <n v="884"/>
    <n v="4"/>
    <x v="0"/>
    <s v="Male"/>
    <d v="2024-04-09T00:00:00"/>
    <s v="April"/>
    <s v="Outpatient"/>
    <x v="1"/>
    <s v="None"/>
    <x v="0"/>
    <n v="10"/>
    <n v="232.83"/>
    <s v="Referred"/>
  </r>
  <r>
    <n v="885"/>
    <n v="26"/>
    <x v="4"/>
    <s v="Female"/>
    <d v="2023-01-04T00:00:00"/>
    <s v="January"/>
    <s v="Internal Medicine"/>
    <x v="3"/>
    <s v="None"/>
    <x v="0"/>
    <n v="1"/>
    <n v="73.2"/>
    <s v="Referred"/>
  </r>
  <r>
    <n v="886"/>
    <n v="84"/>
    <x v="1"/>
    <s v="Male"/>
    <d v="2024-06-12T00:00:00"/>
    <s v="June"/>
    <s v="Pediatrics"/>
    <x v="1"/>
    <s v="None"/>
    <x v="0"/>
    <n v="5"/>
    <n v="236.72"/>
    <s v="Referred"/>
  </r>
  <r>
    <n v="887"/>
    <n v="76"/>
    <x v="1"/>
    <s v="Female"/>
    <d v="2023-09-24T00:00:00"/>
    <s v="September"/>
    <s v="Internal Medicine"/>
    <x v="5"/>
    <s v="Ciprofloxacin"/>
    <x v="0"/>
    <n v="1"/>
    <n v="218.96"/>
    <s v="Referred"/>
  </r>
  <r>
    <n v="888"/>
    <n v="74"/>
    <x v="1"/>
    <s v="Male"/>
    <d v="2024-02-07T00:00:00"/>
    <s v="February"/>
    <s v="Emergency"/>
    <x v="3"/>
    <s v="Amoxicillin"/>
    <x v="0"/>
    <n v="8"/>
    <n v="330.61"/>
    <s v="Referred"/>
  </r>
  <r>
    <n v="889"/>
    <n v="26"/>
    <x v="4"/>
    <s v="Female"/>
    <d v="2023-04-02T00:00:00"/>
    <s v="April"/>
    <s v="Outpatient"/>
    <x v="3"/>
    <s v="Amoxicillin"/>
    <x v="0"/>
    <n v="6"/>
    <n v="316.64"/>
    <s v="Admitted"/>
  </r>
  <r>
    <n v="890"/>
    <n v="48"/>
    <x v="3"/>
    <s v="Male"/>
    <d v="2023-06-02T00:00:00"/>
    <s v="June"/>
    <s v="Emergency"/>
    <x v="0"/>
    <s v="None"/>
    <x v="0"/>
    <n v="0"/>
    <n v="364.92"/>
    <s v="Discharged"/>
  </r>
  <r>
    <n v="891"/>
    <n v="64"/>
    <x v="1"/>
    <s v="Male"/>
    <d v="2024-04-09T00:00:00"/>
    <s v="April"/>
    <s v="Outpatient"/>
    <x v="1"/>
    <s v="None"/>
    <x v="0"/>
    <n v="3"/>
    <n v="111.46"/>
    <s v="Admitted"/>
  </r>
  <r>
    <n v="892"/>
    <n v="64"/>
    <x v="1"/>
    <s v="Female"/>
    <d v="2023-10-22T00:00:00"/>
    <s v="October"/>
    <s v="Outpatient"/>
    <x v="1"/>
    <s v="None"/>
    <x v="0"/>
    <n v="6"/>
    <n v="431.04"/>
    <s v="Referred"/>
  </r>
  <r>
    <n v="893"/>
    <n v="25"/>
    <x v="4"/>
    <s v="Female"/>
    <d v="2023-10-17T00:00:00"/>
    <s v="October"/>
    <s v="Outpatient"/>
    <x v="1"/>
    <s v="None"/>
    <x v="0"/>
    <n v="6"/>
    <n v="400.38"/>
    <s v="Recovered"/>
  </r>
  <r>
    <n v="894"/>
    <n v="31"/>
    <x v="4"/>
    <s v="Female"/>
    <d v="2023-10-25T00:00:00"/>
    <s v="October"/>
    <s v="Outpatient"/>
    <x v="4"/>
    <s v="Azithromycin"/>
    <x v="0"/>
    <n v="9"/>
    <n v="348.45"/>
    <s v="Discharged"/>
  </r>
  <r>
    <n v="895"/>
    <n v="61"/>
    <x v="1"/>
    <s v="Male"/>
    <d v="2023-03-29T00:00:00"/>
    <s v="March"/>
    <s v="Internal Medicine"/>
    <x v="0"/>
    <s v="None"/>
    <x v="0"/>
    <n v="6"/>
    <n v="349.69"/>
    <s v="Discharged"/>
  </r>
  <r>
    <n v="896"/>
    <n v="77"/>
    <x v="1"/>
    <s v="Female"/>
    <d v="2024-12-26T00:00:00"/>
    <s v="December"/>
    <s v="Emergency"/>
    <x v="3"/>
    <s v="Amoxicillin"/>
    <x v="0"/>
    <n v="8"/>
    <n v="48.2"/>
    <s v="Admitted"/>
  </r>
  <r>
    <n v="897"/>
    <n v="46"/>
    <x v="3"/>
    <s v="Male"/>
    <d v="2023-08-29T00:00:00"/>
    <s v="August"/>
    <s v="Emergency"/>
    <x v="3"/>
    <s v="Azithromycin"/>
    <x v="0"/>
    <n v="8"/>
    <n v="317.44"/>
    <s v="Admitted"/>
  </r>
  <r>
    <n v="898"/>
    <n v="48"/>
    <x v="3"/>
    <s v="Male"/>
    <d v="2024-02-09T00:00:00"/>
    <s v="February"/>
    <s v="Emergency"/>
    <x v="1"/>
    <s v="None"/>
    <x v="0"/>
    <n v="9"/>
    <n v="106.1"/>
    <s v="Referred"/>
  </r>
  <r>
    <n v="899"/>
    <n v="44"/>
    <x v="3"/>
    <s v="Female"/>
    <d v="2024-05-30T00:00:00"/>
    <s v="May"/>
    <s v="Outpatient"/>
    <x v="3"/>
    <s v="Amoxicillin"/>
    <x v="0"/>
    <n v="5"/>
    <n v="360.92"/>
    <s v="Discharged"/>
  </r>
  <r>
    <n v="900"/>
    <n v="15"/>
    <x v="2"/>
    <s v="Female"/>
    <d v="2023-05-26T00:00:00"/>
    <s v="May"/>
    <s v="Emergency"/>
    <x v="4"/>
    <s v="Ciprofloxacin"/>
    <x v="0"/>
    <n v="7"/>
    <n v="438.41"/>
    <s v="Admitted"/>
  </r>
  <r>
    <n v="901"/>
    <n v="37"/>
    <x v="3"/>
    <s v="Female"/>
    <d v="2024-01-05T00:00:00"/>
    <s v="January"/>
    <s v="Internal Medicine"/>
    <x v="3"/>
    <s v="None"/>
    <x v="0"/>
    <n v="5"/>
    <n v="229.17"/>
    <s v="Referred"/>
  </r>
  <r>
    <n v="902"/>
    <n v="63"/>
    <x v="1"/>
    <s v="Male"/>
    <d v="2023-11-20T00:00:00"/>
    <s v="November"/>
    <s v="Pediatrics"/>
    <x v="1"/>
    <s v="None"/>
    <x v="0"/>
    <n v="0"/>
    <n v="110.68"/>
    <s v="Recovered"/>
  </r>
  <r>
    <n v="903"/>
    <n v="5"/>
    <x v="0"/>
    <s v="Female"/>
    <d v="2023-08-24T00:00:00"/>
    <s v="August"/>
    <s v="Internal Medicine"/>
    <x v="5"/>
    <s v="Ciprofloxacin"/>
    <x v="0"/>
    <n v="7"/>
    <n v="229.49"/>
    <s v="Discharged"/>
  </r>
  <r>
    <n v="904"/>
    <n v="46"/>
    <x v="3"/>
    <s v="Female"/>
    <d v="2023-02-11T00:00:00"/>
    <s v="February"/>
    <s v="Pediatrics"/>
    <x v="3"/>
    <s v="Ceftriaxone"/>
    <x v="0"/>
    <n v="1"/>
    <n v="426"/>
    <s v="Referred"/>
  </r>
  <r>
    <n v="905"/>
    <n v="12"/>
    <x v="0"/>
    <s v="Male"/>
    <d v="2023-05-07T00:00:00"/>
    <s v="May"/>
    <s v="Internal Medicine"/>
    <x v="4"/>
    <s v="Ciprofloxacin"/>
    <x v="0"/>
    <n v="2"/>
    <n v="379.97"/>
    <s v="Admitted"/>
  </r>
  <r>
    <n v="906"/>
    <n v="75"/>
    <x v="1"/>
    <s v="Male"/>
    <d v="2024-07-30T00:00:00"/>
    <s v="July"/>
    <s v="Emergency"/>
    <x v="1"/>
    <s v="None"/>
    <x v="0"/>
    <n v="8"/>
    <n v="388.09"/>
    <s v="Referred"/>
  </r>
  <r>
    <n v="907"/>
    <n v="32"/>
    <x v="4"/>
    <s v="Female"/>
    <d v="2024-03-02T00:00:00"/>
    <s v="March"/>
    <s v="Emergency"/>
    <x v="0"/>
    <s v="None"/>
    <x v="0"/>
    <n v="5"/>
    <n v="32.46"/>
    <s v="Recovered"/>
  </r>
  <r>
    <n v="908"/>
    <n v="76"/>
    <x v="1"/>
    <s v="Male"/>
    <d v="2024-02-08T00:00:00"/>
    <s v="February"/>
    <s v="Internal Medicine"/>
    <x v="4"/>
    <s v="Ciprofloxacin"/>
    <x v="0"/>
    <n v="0"/>
    <n v="58.91"/>
    <s v="Discharged"/>
  </r>
  <r>
    <n v="909"/>
    <n v="35"/>
    <x v="4"/>
    <s v="Male"/>
    <d v="2024-04-09T00:00:00"/>
    <s v="April"/>
    <s v="Internal Medicine"/>
    <x v="1"/>
    <s v="None"/>
    <x v="0"/>
    <n v="0"/>
    <n v="334.96"/>
    <s v="Discharged"/>
  </r>
  <r>
    <n v="910"/>
    <n v="73"/>
    <x v="1"/>
    <s v="Male"/>
    <d v="2023-11-29T00:00:00"/>
    <s v="November"/>
    <s v="Outpatient"/>
    <x v="1"/>
    <s v="None"/>
    <x v="0"/>
    <n v="0"/>
    <n v="404.75"/>
    <s v="Admitted"/>
  </r>
  <r>
    <n v="911"/>
    <n v="10"/>
    <x v="0"/>
    <s v="Female"/>
    <d v="2023-11-27T00:00:00"/>
    <s v="November"/>
    <s v="Emergency"/>
    <x v="0"/>
    <s v="None"/>
    <x v="0"/>
    <n v="6"/>
    <n v="142.47999999999999"/>
    <s v="Referred"/>
  </r>
  <r>
    <n v="912"/>
    <n v="3"/>
    <x v="0"/>
    <s v="Male"/>
    <d v="2024-02-13T00:00:00"/>
    <s v="February"/>
    <s v="Outpatient"/>
    <x v="0"/>
    <s v="None"/>
    <x v="0"/>
    <n v="6"/>
    <n v="394.16"/>
    <s v="Admitted"/>
  </r>
  <r>
    <n v="913"/>
    <n v="20"/>
    <x v="4"/>
    <s v="Male"/>
    <d v="2024-10-24T00:00:00"/>
    <s v="October"/>
    <s v="Internal Medicine"/>
    <x v="1"/>
    <s v="None"/>
    <x v="0"/>
    <n v="7"/>
    <n v="404.53"/>
    <s v="Admitted"/>
  </r>
  <r>
    <n v="914"/>
    <n v="17"/>
    <x v="2"/>
    <s v="Female"/>
    <d v="2024-12-02T00:00:00"/>
    <s v="December"/>
    <s v="Emergency"/>
    <x v="2"/>
    <s v="None"/>
    <x v="0"/>
    <n v="5"/>
    <n v="266.07"/>
    <s v="Discharged"/>
  </r>
  <r>
    <n v="915"/>
    <n v="61"/>
    <x v="1"/>
    <s v="Female"/>
    <d v="2024-04-01T00:00:00"/>
    <s v="April"/>
    <s v="Pediatrics"/>
    <x v="3"/>
    <s v="Amoxicillin"/>
    <x v="0"/>
    <n v="6"/>
    <n v="409.28"/>
    <s v="Referred"/>
  </r>
  <r>
    <n v="916"/>
    <n v="55"/>
    <x v="3"/>
    <s v="Male"/>
    <d v="2024-03-20T00:00:00"/>
    <s v="March"/>
    <s v="Emergency"/>
    <x v="1"/>
    <s v="None"/>
    <x v="0"/>
    <n v="8"/>
    <n v="184.04"/>
    <s v="Discharged"/>
  </r>
  <r>
    <n v="917"/>
    <n v="83"/>
    <x v="1"/>
    <s v="Male"/>
    <d v="2024-11-23T00:00:00"/>
    <s v="November"/>
    <s v="Pediatrics"/>
    <x v="5"/>
    <s v="None"/>
    <x v="0"/>
    <n v="10"/>
    <n v="330.67"/>
    <s v="Recovered"/>
  </r>
  <r>
    <n v="918"/>
    <n v="56"/>
    <x v="3"/>
    <s v="Male"/>
    <d v="2023-10-25T00:00:00"/>
    <s v="October"/>
    <s v="Pediatrics"/>
    <x v="3"/>
    <s v="Azithromycin"/>
    <x v="0"/>
    <n v="2"/>
    <n v="492.41"/>
    <s v="Admitted"/>
  </r>
  <r>
    <n v="919"/>
    <n v="55"/>
    <x v="3"/>
    <s v="Female"/>
    <d v="2023-09-12T00:00:00"/>
    <s v="September"/>
    <s v="Emergency"/>
    <x v="2"/>
    <s v="None"/>
    <x v="0"/>
    <n v="8"/>
    <n v="56.74"/>
    <s v="Recovered"/>
  </r>
  <r>
    <n v="920"/>
    <n v="66"/>
    <x v="1"/>
    <s v="Female"/>
    <d v="2024-06-09T00:00:00"/>
    <s v="June"/>
    <s v="Pediatrics"/>
    <x v="0"/>
    <s v="None"/>
    <x v="0"/>
    <n v="1"/>
    <n v="243.04"/>
    <s v="Admitted"/>
  </r>
  <r>
    <n v="921"/>
    <n v="75"/>
    <x v="1"/>
    <s v="Male"/>
    <d v="2023-12-30T00:00:00"/>
    <s v="December"/>
    <s v="Emergency"/>
    <x v="4"/>
    <s v="Amoxicillin"/>
    <x v="0"/>
    <n v="10"/>
    <n v="242.18"/>
    <s v="Referred"/>
  </r>
  <r>
    <n v="922"/>
    <n v="11"/>
    <x v="0"/>
    <s v="Female"/>
    <d v="2024-02-07T00:00:00"/>
    <s v="February"/>
    <s v="Internal Medicine"/>
    <x v="0"/>
    <s v="None"/>
    <x v="0"/>
    <n v="5"/>
    <n v="301.86"/>
    <s v="Discharged"/>
  </r>
  <r>
    <n v="923"/>
    <n v="80"/>
    <x v="1"/>
    <s v="Female"/>
    <d v="2024-11-17T00:00:00"/>
    <s v="November"/>
    <s v="Internal Medicine"/>
    <x v="3"/>
    <s v="Ciprofloxacin"/>
    <x v="0"/>
    <n v="3"/>
    <n v="108.84"/>
    <s v="Admitted"/>
  </r>
  <r>
    <n v="924"/>
    <n v="56"/>
    <x v="3"/>
    <s v="Male"/>
    <d v="2024-11-20T00:00:00"/>
    <s v="November"/>
    <s v="Emergency"/>
    <x v="0"/>
    <s v="None"/>
    <x v="0"/>
    <n v="6"/>
    <n v="76.010000000000005"/>
    <s v="Referred"/>
  </r>
  <r>
    <n v="925"/>
    <n v="59"/>
    <x v="3"/>
    <s v="Female"/>
    <d v="2024-11-02T00:00:00"/>
    <s v="November"/>
    <s v="Pediatrics"/>
    <x v="3"/>
    <s v="Azithromycin"/>
    <x v="0"/>
    <n v="9"/>
    <n v="410.3"/>
    <s v="Admitted"/>
  </r>
  <r>
    <n v="926"/>
    <n v="51"/>
    <x v="3"/>
    <s v="Female"/>
    <d v="2024-12-08T00:00:00"/>
    <s v="December"/>
    <s v="Emergency"/>
    <x v="1"/>
    <s v="None"/>
    <x v="0"/>
    <n v="2"/>
    <n v="84.85"/>
    <s v="Referred"/>
  </r>
  <r>
    <n v="927"/>
    <n v="25"/>
    <x v="4"/>
    <s v="Male"/>
    <d v="2023-04-25T00:00:00"/>
    <s v="April"/>
    <s v="Outpatient"/>
    <x v="0"/>
    <s v="None"/>
    <x v="0"/>
    <n v="7"/>
    <n v="331.34"/>
    <s v="Referred"/>
  </r>
  <r>
    <n v="928"/>
    <n v="69"/>
    <x v="1"/>
    <s v="Male"/>
    <d v="2024-03-22T00:00:00"/>
    <s v="March"/>
    <s v="Emergency"/>
    <x v="1"/>
    <s v="None"/>
    <x v="0"/>
    <n v="4"/>
    <n v="389.47"/>
    <s v="Referred"/>
  </r>
  <r>
    <n v="929"/>
    <n v="3"/>
    <x v="0"/>
    <s v="Male"/>
    <d v="2024-04-30T00:00:00"/>
    <s v="April"/>
    <s v="Outpatient"/>
    <x v="3"/>
    <s v="Ciprofloxacin"/>
    <x v="0"/>
    <n v="7"/>
    <n v="482.66"/>
    <s v="Discharged"/>
  </r>
  <r>
    <n v="930"/>
    <n v="75"/>
    <x v="1"/>
    <s v="Male"/>
    <d v="2023-01-21T00:00:00"/>
    <s v="January"/>
    <s v="Outpatient"/>
    <x v="3"/>
    <s v="Azithromycin"/>
    <x v="0"/>
    <n v="9"/>
    <n v="418.14"/>
    <s v="Discharged"/>
  </r>
  <r>
    <n v="931"/>
    <n v="2"/>
    <x v="0"/>
    <s v="Male"/>
    <d v="2023-02-22T00:00:00"/>
    <s v="February"/>
    <s v="Pediatrics"/>
    <x v="4"/>
    <s v="Ceftriaxone"/>
    <x v="0"/>
    <n v="7"/>
    <n v="373.8"/>
    <s v="Admitted"/>
  </r>
  <r>
    <n v="932"/>
    <n v="52"/>
    <x v="3"/>
    <s v="Female"/>
    <d v="2023-02-07T00:00:00"/>
    <s v="February"/>
    <s v="Pediatrics"/>
    <x v="3"/>
    <s v="Ciprofloxacin"/>
    <x v="0"/>
    <n v="0"/>
    <n v="273.58999999999997"/>
    <s v="Discharged"/>
  </r>
  <r>
    <n v="933"/>
    <n v="71"/>
    <x v="1"/>
    <s v="Male"/>
    <d v="2024-08-13T00:00:00"/>
    <s v="August"/>
    <s v="Internal Medicine"/>
    <x v="4"/>
    <s v="Ceftriaxone"/>
    <x v="0"/>
    <n v="7"/>
    <n v="76.13"/>
    <s v="Admitted"/>
  </r>
  <r>
    <n v="934"/>
    <n v="56"/>
    <x v="3"/>
    <s v="Male"/>
    <d v="2024-04-04T00:00:00"/>
    <s v="April"/>
    <s v="Outpatient"/>
    <x v="1"/>
    <s v="None"/>
    <x v="0"/>
    <n v="4"/>
    <n v="368.58"/>
    <s v="Discharged"/>
  </r>
  <r>
    <n v="935"/>
    <n v="30"/>
    <x v="4"/>
    <s v="Male"/>
    <d v="2023-12-19T00:00:00"/>
    <s v="December"/>
    <s v="Internal Medicine"/>
    <x v="3"/>
    <s v="None"/>
    <x v="0"/>
    <n v="10"/>
    <n v="244.86"/>
    <s v="Admitted"/>
  </r>
  <r>
    <n v="936"/>
    <n v="54"/>
    <x v="3"/>
    <s v="Female"/>
    <d v="2024-12-29T00:00:00"/>
    <s v="December"/>
    <s v="Pediatrics"/>
    <x v="3"/>
    <s v="Ciprofloxacin"/>
    <x v="0"/>
    <n v="9"/>
    <n v="119.46"/>
    <s v="Recovered"/>
  </r>
  <r>
    <n v="937"/>
    <n v="17"/>
    <x v="2"/>
    <s v="Male"/>
    <d v="2024-11-14T00:00:00"/>
    <s v="November"/>
    <s v="Outpatient"/>
    <x v="3"/>
    <s v="Ciprofloxacin"/>
    <x v="0"/>
    <n v="9"/>
    <n v="256.25"/>
    <s v="Discharged"/>
  </r>
  <r>
    <n v="938"/>
    <n v="31"/>
    <x v="4"/>
    <s v="Male"/>
    <d v="2024-05-20T00:00:00"/>
    <s v="May"/>
    <s v="Emergency"/>
    <x v="4"/>
    <s v="Amoxicillin"/>
    <x v="0"/>
    <n v="5"/>
    <n v="442.83"/>
    <s v="Admitted"/>
  </r>
  <r>
    <n v="939"/>
    <n v="23"/>
    <x v="4"/>
    <s v="Male"/>
    <d v="2024-11-24T00:00:00"/>
    <s v="November"/>
    <s v="Emergency"/>
    <x v="5"/>
    <s v="Azithromycin"/>
    <x v="0"/>
    <n v="6"/>
    <n v="74.709999999999994"/>
    <s v="Referred"/>
  </r>
  <r>
    <n v="940"/>
    <n v="29"/>
    <x v="4"/>
    <s v="Female"/>
    <d v="2023-05-04T00:00:00"/>
    <s v="May"/>
    <s v="Internal Medicine"/>
    <x v="2"/>
    <s v="None"/>
    <x v="0"/>
    <n v="5"/>
    <n v="396.75"/>
    <s v="Recovered"/>
  </r>
  <r>
    <n v="941"/>
    <n v="20"/>
    <x v="4"/>
    <s v="Male"/>
    <d v="2024-07-24T00:00:00"/>
    <s v="July"/>
    <s v="Emergency"/>
    <x v="4"/>
    <s v="Ceftriaxone"/>
    <x v="0"/>
    <n v="7"/>
    <n v="482.07"/>
    <s v="Recovered"/>
  </r>
  <r>
    <n v="942"/>
    <n v="79"/>
    <x v="1"/>
    <s v="Male"/>
    <d v="2023-04-19T00:00:00"/>
    <s v="April"/>
    <s v="Emergency"/>
    <x v="2"/>
    <s v="None"/>
    <x v="0"/>
    <n v="8"/>
    <n v="70.599999999999994"/>
    <s v="Recovered"/>
  </r>
  <r>
    <n v="943"/>
    <n v="21"/>
    <x v="4"/>
    <s v="Female"/>
    <d v="2023-07-30T00:00:00"/>
    <s v="July"/>
    <s v="Pediatrics"/>
    <x v="4"/>
    <s v="None"/>
    <x v="0"/>
    <n v="7"/>
    <n v="371.62"/>
    <s v="Recovered"/>
  </r>
  <r>
    <n v="944"/>
    <n v="47"/>
    <x v="3"/>
    <s v="Female"/>
    <d v="2023-06-07T00:00:00"/>
    <s v="June"/>
    <s v="Outpatient"/>
    <x v="1"/>
    <s v="None"/>
    <x v="0"/>
    <n v="1"/>
    <n v="427.33"/>
    <s v="Discharged"/>
  </r>
  <r>
    <n v="945"/>
    <n v="32"/>
    <x v="4"/>
    <s v="Female"/>
    <d v="2024-03-01T00:00:00"/>
    <s v="March"/>
    <s v="Internal Medicine"/>
    <x v="0"/>
    <s v="None"/>
    <x v="0"/>
    <n v="4"/>
    <n v="262.41000000000003"/>
    <s v="Recovered"/>
  </r>
  <r>
    <n v="946"/>
    <n v="54"/>
    <x v="3"/>
    <s v="Female"/>
    <d v="2023-09-30T00:00:00"/>
    <s v="September"/>
    <s v="Outpatient"/>
    <x v="4"/>
    <s v="Ciprofloxacin"/>
    <x v="0"/>
    <n v="8"/>
    <n v="222.43"/>
    <s v="Referred"/>
  </r>
  <r>
    <n v="947"/>
    <n v="53"/>
    <x v="3"/>
    <s v="Female"/>
    <d v="2023-05-22T00:00:00"/>
    <s v="May"/>
    <s v="Pediatrics"/>
    <x v="3"/>
    <s v="None"/>
    <x v="0"/>
    <n v="10"/>
    <n v="193.65"/>
    <s v="Recovered"/>
  </r>
  <r>
    <n v="948"/>
    <n v="2"/>
    <x v="0"/>
    <s v="Male"/>
    <d v="2024-03-29T00:00:00"/>
    <s v="March"/>
    <s v="Emergency"/>
    <x v="5"/>
    <s v="Azithromycin"/>
    <x v="0"/>
    <n v="5"/>
    <n v="212.79"/>
    <s v="Referred"/>
  </r>
  <r>
    <n v="949"/>
    <n v="51"/>
    <x v="3"/>
    <s v="Male"/>
    <d v="2024-03-20T00:00:00"/>
    <s v="March"/>
    <s v="Outpatient"/>
    <x v="0"/>
    <s v="None"/>
    <x v="0"/>
    <n v="9"/>
    <n v="47.75"/>
    <s v="Admitted"/>
  </r>
  <r>
    <n v="950"/>
    <n v="71"/>
    <x v="1"/>
    <s v="Female"/>
    <d v="2024-03-05T00:00:00"/>
    <s v="March"/>
    <s v="Internal Medicine"/>
    <x v="3"/>
    <s v="Azithromycin"/>
    <x v="0"/>
    <n v="0"/>
    <n v="416.96"/>
    <s v="Referred"/>
  </r>
  <r>
    <n v="951"/>
    <n v="58"/>
    <x v="3"/>
    <s v="Male"/>
    <d v="2024-12-18T00:00:00"/>
    <s v="December"/>
    <s v="Pediatrics"/>
    <x v="3"/>
    <s v="Azithromycin"/>
    <x v="0"/>
    <n v="10"/>
    <n v="214.16"/>
    <s v="Referred"/>
  </r>
  <r>
    <n v="952"/>
    <n v="5"/>
    <x v="0"/>
    <s v="Female"/>
    <d v="2023-11-05T00:00:00"/>
    <s v="November"/>
    <s v="Pediatrics"/>
    <x v="0"/>
    <s v="None"/>
    <x v="0"/>
    <n v="2"/>
    <n v="269.83"/>
    <s v="Admitted"/>
  </r>
  <r>
    <n v="953"/>
    <n v="66"/>
    <x v="1"/>
    <s v="Female"/>
    <d v="2023-08-07T00:00:00"/>
    <s v="August"/>
    <s v="Internal Medicine"/>
    <x v="0"/>
    <s v="None"/>
    <x v="0"/>
    <n v="10"/>
    <n v="96.81"/>
    <s v="Recovered"/>
  </r>
  <r>
    <n v="954"/>
    <n v="34"/>
    <x v="4"/>
    <s v="Male"/>
    <d v="2024-07-06T00:00:00"/>
    <s v="July"/>
    <s v="Internal Medicine"/>
    <x v="2"/>
    <s v="None"/>
    <x v="0"/>
    <n v="6"/>
    <n v="493.74"/>
    <s v="Recovered"/>
  </r>
  <r>
    <n v="955"/>
    <n v="34"/>
    <x v="4"/>
    <s v="Female"/>
    <d v="2023-03-03T00:00:00"/>
    <s v="March"/>
    <s v="Emergency"/>
    <x v="4"/>
    <s v="Amoxicillin"/>
    <x v="0"/>
    <n v="10"/>
    <n v="471.84"/>
    <s v="Discharged"/>
  </r>
  <r>
    <n v="956"/>
    <n v="1"/>
    <x v="0"/>
    <s v="Female"/>
    <d v="2023-11-02T00:00:00"/>
    <s v="November"/>
    <s v="Internal Medicine"/>
    <x v="2"/>
    <s v="None"/>
    <x v="0"/>
    <n v="3"/>
    <n v="406.59"/>
    <s v="Referred"/>
  </r>
  <r>
    <n v="957"/>
    <n v="37"/>
    <x v="3"/>
    <s v="Male"/>
    <d v="2023-12-25T00:00:00"/>
    <s v="December"/>
    <s v="Pediatrics"/>
    <x v="4"/>
    <s v="None"/>
    <x v="0"/>
    <n v="3"/>
    <n v="70.510000000000005"/>
    <s v="Referred"/>
  </r>
  <r>
    <n v="958"/>
    <n v="13"/>
    <x v="2"/>
    <s v="Male"/>
    <d v="2024-01-05T00:00:00"/>
    <s v="January"/>
    <s v="Pediatrics"/>
    <x v="3"/>
    <s v="Ceftriaxone"/>
    <x v="0"/>
    <n v="1"/>
    <n v="64.28"/>
    <s v="Discharged"/>
  </r>
  <r>
    <n v="959"/>
    <n v="28"/>
    <x v="4"/>
    <s v="Female"/>
    <d v="2023-05-14T00:00:00"/>
    <s v="May"/>
    <s v="Emergency"/>
    <x v="3"/>
    <s v="Azithromycin"/>
    <x v="0"/>
    <n v="10"/>
    <n v="272.60000000000002"/>
    <s v="Discharged"/>
  </r>
  <r>
    <n v="960"/>
    <n v="64"/>
    <x v="1"/>
    <s v="Female"/>
    <d v="2023-09-28T00:00:00"/>
    <s v="September"/>
    <s v="Pediatrics"/>
    <x v="2"/>
    <s v="None"/>
    <x v="0"/>
    <n v="7"/>
    <n v="371.22"/>
    <s v="Discharged"/>
  </r>
  <r>
    <n v="961"/>
    <n v="65"/>
    <x v="1"/>
    <s v="Male"/>
    <d v="2023-06-16T00:00:00"/>
    <s v="June"/>
    <s v="Pediatrics"/>
    <x v="5"/>
    <s v="Ceftriaxone"/>
    <x v="0"/>
    <n v="2"/>
    <n v="484.66"/>
    <s v="Recovered"/>
  </r>
  <r>
    <n v="962"/>
    <n v="59"/>
    <x v="3"/>
    <s v="Female"/>
    <d v="2024-12-12T00:00:00"/>
    <s v="December"/>
    <s v="Emergency"/>
    <x v="5"/>
    <s v="Ciprofloxacin"/>
    <x v="0"/>
    <n v="8"/>
    <n v="197.28"/>
    <s v="Recovered"/>
  </r>
  <r>
    <n v="963"/>
    <n v="15"/>
    <x v="2"/>
    <s v="Male"/>
    <d v="2024-09-08T00:00:00"/>
    <s v="September"/>
    <s v="Internal Medicine"/>
    <x v="3"/>
    <s v="None"/>
    <x v="0"/>
    <n v="4"/>
    <n v="39.340000000000003"/>
    <s v="Referred"/>
  </r>
  <r>
    <n v="964"/>
    <n v="40"/>
    <x v="3"/>
    <s v="Female"/>
    <d v="2023-05-01T00:00:00"/>
    <s v="May"/>
    <s v="Internal Medicine"/>
    <x v="4"/>
    <s v="Azithromycin"/>
    <x v="0"/>
    <n v="7"/>
    <n v="33.43"/>
    <s v="Referred"/>
  </r>
  <r>
    <n v="965"/>
    <n v="54"/>
    <x v="3"/>
    <s v="Male"/>
    <d v="2023-05-26T00:00:00"/>
    <s v="May"/>
    <s v="Internal Medicine"/>
    <x v="2"/>
    <s v="None"/>
    <x v="0"/>
    <n v="4"/>
    <n v="123.48"/>
    <s v="Discharged"/>
  </r>
  <r>
    <n v="966"/>
    <n v="71"/>
    <x v="1"/>
    <s v="Female"/>
    <d v="2023-01-03T00:00:00"/>
    <s v="January"/>
    <s v="Emergency"/>
    <x v="0"/>
    <s v="None"/>
    <x v="0"/>
    <n v="0"/>
    <n v="220.44"/>
    <s v="Admitted"/>
  </r>
  <r>
    <n v="967"/>
    <n v="44"/>
    <x v="3"/>
    <s v="Female"/>
    <d v="2024-08-02T00:00:00"/>
    <s v="August"/>
    <s v="Pediatrics"/>
    <x v="3"/>
    <s v="None"/>
    <x v="0"/>
    <n v="2"/>
    <n v="385.74"/>
    <s v="Discharged"/>
  </r>
  <r>
    <n v="968"/>
    <n v="58"/>
    <x v="3"/>
    <s v="Male"/>
    <d v="2024-04-05T00:00:00"/>
    <s v="April"/>
    <s v="Internal Medicine"/>
    <x v="1"/>
    <s v="None"/>
    <x v="0"/>
    <n v="1"/>
    <n v="403.91"/>
    <s v="Discharged"/>
  </r>
  <r>
    <n v="969"/>
    <n v="51"/>
    <x v="3"/>
    <s v="Female"/>
    <d v="2024-02-01T00:00:00"/>
    <s v="February"/>
    <s v="Emergency"/>
    <x v="5"/>
    <s v="Ceftriaxone"/>
    <x v="0"/>
    <n v="4"/>
    <n v="330.04"/>
    <s v="Referred"/>
  </r>
  <r>
    <n v="970"/>
    <n v="74"/>
    <x v="1"/>
    <s v="Female"/>
    <d v="2024-12-25T00:00:00"/>
    <s v="December"/>
    <s v="Emergency"/>
    <x v="0"/>
    <s v="None"/>
    <x v="0"/>
    <n v="10"/>
    <n v="288.49"/>
    <s v="Referred"/>
  </r>
  <r>
    <n v="971"/>
    <n v="74"/>
    <x v="1"/>
    <s v="Male"/>
    <d v="2024-09-25T00:00:00"/>
    <s v="September"/>
    <s v="Outpatient"/>
    <x v="2"/>
    <s v="None"/>
    <x v="0"/>
    <n v="7"/>
    <n v="261.27"/>
    <s v="Recovered"/>
  </r>
  <r>
    <n v="972"/>
    <n v="69"/>
    <x v="1"/>
    <s v="Male"/>
    <d v="2023-05-04T00:00:00"/>
    <s v="May"/>
    <s v="Emergency"/>
    <x v="1"/>
    <s v="None"/>
    <x v="0"/>
    <n v="4"/>
    <n v="397.64"/>
    <s v="Referred"/>
  </r>
  <r>
    <n v="973"/>
    <n v="57"/>
    <x v="3"/>
    <s v="Male"/>
    <d v="2024-12-23T00:00:00"/>
    <s v="December"/>
    <s v="Internal Medicine"/>
    <x v="2"/>
    <s v="None"/>
    <x v="0"/>
    <n v="6"/>
    <n v="302.67"/>
    <s v="Discharged"/>
  </r>
  <r>
    <n v="974"/>
    <n v="56"/>
    <x v="3"/>
    <s v="Male"/>
    <d v="2023-01-24T00:00:00"/>
    <s v="January"/>
    <s v="Pediatrics"/>
    <x v="4"/>
    <s v="Amoxicillin"/>
    <x v="0"/>
    <n v="8"/>
    <n v="172.34"/>
    <s v="Admitted"/>
  </r>
  <r>
    <n v="975"/>
    <n v="13"/>
    <x v="2"/>
    <s v="Male"/>
    <d v="2023-04-04T00:00:00"/>
    <s v="April"/>
    <s v="Internal Medicine"/>
    <x v="0"/>
    <s v="None"/>
    <x v="0"/>
    <n v="2"/>
    <n v="107.68"/>
    <s v="Recovered"/>
  </r>
  <r>
    <n v="976"/>
    <n v="53"/>
    <x v="3"/>
    <s v="Male"/>
    <d v="2023-06-07T00:00:00"/>
    <s v="June"/>
    <s v="Emergency"/>
    <x v="4"/>
    <s v="None"/>
    <x v="0"/>
    <n v="5"/>
    <n v="107.1"/>
    <s v="Recovered"/>
  </r>
  <r>
    <n v="977"/>
    <n v="13"/>
    <x v="2"/>
    <s v="Female"/>
    <d v="2023-11-02T00:00:00"/>
    <s v="November"/>
    <s v="Outpatient"/>
    <x v="3"/>
    <s v="Ceftriaxone"/>
    <x v="0"/>
    <n v="5"/>
    <n v="143.81"/>
    <s v="Recovered"/>
  </r>
  <r>
    <n v="978"/>
    <n v="31"/>
    <x v="4"/>
    <s v="Male"/>
    <d v="2023-02-23T00:00:00"/>
    <s v="February"/>
    <s v="Pediatrics"/>
    <x v="5"/>
    <s v="None"/>
    <x v="0"/>
    <n v="8"/>
    <n v="204.82"/>
    <s v="Recovered"/>
  </r>
  <r>
    <n v="979"/>
    <n v="41"/>
    <x v="3"/>
    <s v="Female"/>
    <d v="2023-10-03T00:00:00"/>
    <s v="October"/>
    <s v="Pediatrics"/>
    <x v="0"/>
    <s v="None"/>
    <x v="0"/>
    <n v="1"/>
    <n v="252.4"/>
    <s v="Discharged"/>
  </r>
  <r>
    <n v="980"/>
    <n v="3"/>
    <x v="0"/>
    <s v="Female"/>
    <d v="2024-10-10T00:00:00"/>
    <s v="October"/>
    <s v="Emergency"/>
    <x v="5"/>
    <s v="Ciprofloxacin"/>
    <x v="0"/>
    <n v="8"/>
    <n v="332.74"/>
    <s v="Referred"/>
  </r>
  <r>
    <n v="981"/>
    <n v="53"/>
    <x v="3"/>
    <s v="Female"/>
    <d v="2023-11-08T00:00:00"/>
    <s v="November"/>
    <s v="Emergency"/>
    <x v="2"/>
    <s v="None"/>
    <x v="0"/>
    <n v="10"/>
    <n v="260.20999999999998"/>
    <s v="Referred"/>
  </r>
  <r>
    <n v="982"/>
    <n v="22"/>
    <x v="4"/>
    <s v="Male"/>
    <d v="2024-01-18T00:00:00"/>
    <s v="January"/>
    <s v="Pediatrics"/>
    <x v="2"/>
    <s v="None"/>
    <x v="0"/>
    <n v="8"/>
    <n v="236.84"/>
    <s v="Recovered"/>
  </r>
  <r>
    <n v="983"/>
    <n v="38"/>
    <x v="3"/>
    <s v="Male"/>
    <d v="2024-04-20T00:00:00"/>
    <s v="April"/>
    <s v="Emergency"/>
    <x v="2"/>
    <s v="None"/>
    <x v="0"/>
    <n v="0"/>
    <n v="468.08"/>
    <s v="Discharged"/>
  </r>
  <r>
    <n v="984"/>
    <n v="33"/>
    <x v="4"/>
    <s v="Female"/>
    <d v="2023-10-07T00:00:00"/>
    <s v="October"/>
    <s v="Internal Medicine"/>
    <x v="2"/>
    <s v="None"/>
    <x v="0"/>
    <n v="10"/>
    <n v="122.12"/>
    <s v="Admitted"/>
  </r>
  <r>
    <n v="985"/>
    <n v="69"/>
    <x v="1"/>
    <s v="Male"/>
    <d v="2023-02-16T00:00:00"/>
    <s v="February"/>
    <s v="Internal Medicine"/>
    <x v="5"/>
    <s v="Amoxicillin"/>
    <x v="0"/>
    <n v="6"/>
    <n v="355.25"/>
    <s v="Referred"/>
  </r>
  <r>
    <n v="986"/>
    <n v="56"/>
    <x v="3"/>
    <s v="Male"/>
    <d v="2024-07-23T00:00:00"/>
    <s v="July"/>
    <s v="Internal Medicine"/>
    <x v="4"/>
    <s v="Azithromycin"/>
    <x v="0"/>
    <n v="10"/>
    <n v="145.44999999999999"/>
    <s v="Discharged"/>
  </r>
  <r>
    <n v="987"/>
    <n v="85"/>
    <x v="1"/>
    <s v="Female"/>
    <d v="2023-10-07T00:00:00"/>
    <s v="October"/>
    <s v="Internal Medicine"/>
    <x v="5"/>
    <s v="Ciprofloxacin"/>
    <x v="0"/>
    <n v="7"/>
    <n v="480.32"/>
    <s v="Admitted"/>
  </r>
  <r>
    <n v="988"/>
    <n v="18"/>
    <x v="2"/>
    <s v="Male"/>
    <d v="2023-01-17T00:00:00"/>
    <s v="January"/>
    <s v="Pediatrics"/>
    <x v="1"/>
    <s v="None"/>
    <x v="0"/>
    <n v="0"/>
    <n v="452.69"/>
    <s v="Referred"/>
  </r>
  <r>
    <n v="989"/>
    <n v="63"/>
    <x v="1"/>
    <s v="Female"/>
    <d v="2024-02-28T00:00:00"/>
    <s v="February"/>
    <s v="Emergency"/>
    <x v="2"/>
    <s v="None"/>
    <x v="0"/>
    <n v="10"/>
    <n v="332.61"/>
    <s v="Recovered"/>
  </r>
  <r>
    <n v="990"/>
    <n v="16"/>
    <x v="2"/>
    <s v="Female"/>
    <d v="2024-11-18T00:00:00"/>
    <s v="November"/>
    <s v="Pediatrics"/>
    <x v="3"/>
    <s v="None"/>
    <x v="0"/>
    <n v="5"/>
    <n v="205.64"/>
    <s v="Recovered"/>
  </r>
  <r>
    <n v="991"/>
    <n v="48"/>
    <x v="3"/>
    <s v="Male"/>
    <d v="2023-05-08T00:00:00"/>
    <s v="May"/>
    <s v="Pediatrics"/>
    <x v="3"/>
    <s v="Amoxicillin"/>
    <x v="0"/>
    <n v="3"/>
    <n v="376.71"/>
    <s v="Admitted"/>
  </r>
  <r>
    <n v="992"/>
    <n v="46"/>
    <x v="3"/>
    <s v="Male"/>
    <d v="2024-11-27T00:00:00"/>
    <s v="November"/>
    <s v="Emergency"/>
    <x v="1"/>
    <s v="None"/>
    <x v="0"/>
    <n v="9"/>
    <n v="320.11"/>
    <s v="Referred"/>
  </r>
  <r>
    <n v="993"/>
    <n v="47"/>
    <x v="3"/>
    <s v="Male"/>
    <d v="2023-08-28T00:00:00"/>
    <s v="August"/>
    <s v="Internal Medicine"/>
    <x v="3"/>
    <s v="Ceftriaxone"/>
    <x v="0"/>
    <n v="9"/>
    <n v="120.36"/>
    <s v="Referred"/>
  </r>
  <r>
    <n v="994"/>
    <n v="15"/>
    <x v="2"/>
    <s v="Female"/>
    <d v="2024-10-15T00:00:00"/>
    <s v="October"/>
    <s v="Pediatrics"/>
    <x v="3"/>
    <s v="Ciprofloxacin"/>
    <x v="0"/>
    <n v="8"/>
    <n v="113.01"/>
    <s v="Referred"/>
  </r>
  <r>
    <n v="995"/>
    <n v="17"/>
    <x v="2"/>
    <s v="Male"/>
    <d v="2023-03-08T00:00:00"/>
    <s v="March"/>
    <s v="Outpatient"/>
    <x v="2"/>
    <s v="None"/>
    <x v="0"/>
    <n v="4"/>
    <n v="468.11"/>
    <s v="Referred"/>
  </r>
  <r>
    <n v="996"/>
    <n v="36"/>
    <x v="3"/>
    <s v="Male"/>
    <d v="2024-06-19T00:00:00"/>
    <s v="June"/>
    <s v="Emergency"/>
    <x v="1"/>
    <s v="None"/>
    <x v="0"/>
    <n v="10"/>
    <n v="275.81"/>
    <s v="Admitted"/>
  </r>
  <r>
    <n v="997"/>
    <n v="59"/>
    <x v="3"/>
    <s v="Male"/>
    <d v="2024-11-28T00:00:00"/>
    <s v="November"/>
    <s v="Pediatrics"/>
    <x v="2"/>
    <s v="None"/>
    <x v="0"/>
    <n v="10"/>
    <n v="343.09"/>
    <s v="Recovered"/>
  </r>
  <r>
    <n v="998"/>
    <n v="53"/>
    <x v="3"/>
    <s v="Female"/>
    <d v="2023-11-27T00:00:00"/>
    <s v="November"/>
    <s v="Emergency"/>
    <x v="3"/>
    <s v="None"/>
    <x v="0"/>
    <n v="7"/>
    <n v="257.88"/>
    <s v="Recovered"/>
  </r>
  <r>
    <n v="999"/>
    <n v="36"/>
    <x v="3"/>
    <s v="Female"/>
    <d v="2023-08-18T00:00:00"/>
    <s v="August"/>
    <s v="Pediatrics"/>
    <x v="0"/>
    <s v="None"/>
    <x v="0"/>
    <n v="5"/>
    <n v="22.48"/>
    <s v="Referred"/>
  </r>
  <r>
    <n v="1000"/>
    <n v="74"/>
    <x v="1"/>
    <s v="Male"/>
    <d v="2023-12-09T00:00:00"/>
    <s v="December"/>
    <s v="Outpatient"/>
    <x v="0"/>
    <s v="None"/>
    <x v="0"/>
    <n v="6"/>
    <n v="479.73"/>
    <s v="Refer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8DD71-C02B-41A4-B5AD-C502B43A568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0" firstHeaderRow="1" firstDataRow="1" firstDataCol="1"/>
  <pivotFields count="13">
    <pivotField showAll="0"/>
    <pivotField showAll="0"/>
    <pivotField showAll="0"/>
    <pivotField showAll="0"/>
    <pivotField numFmtId="14" showAll="0"/>
    <pivotField showAll="0"/>
    <pivotField showAll="0"/>
    <pivotField axis="axisRow" showAll="0" sortType="descending">
      <items count="7">
        <item x="1"/>
        <item x="2"/>
        <item x="0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4" showAll="0"/>
    <pivotField showAll="0"/>
  </pivotFields>
  <rowFields count="1">
    <field x="7"/>
  </rowFields>
  <rowItems count="7">
    <i>
      <x v="1"/>
    </i>
    <i>
      <x/>
    </i>
    <i>
      <x v="2"/>
    </i>
    <i>
      <x v="4"/>
    </i>
    <i>
      <x v="5"/>
    </i>
    <i>
      <x v="3"/>
    </i>
    <i t="grand">
      <x/>
    </i>
  </rowItems>
  <colItems count="1">
    <i/>
  </colItems>
  <dataFields count="1">
    <dataField name="Average of Treatment_Cost_USD" fld="11" subtotal="average" baseField="7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C3D5D-36B7-460A-B519-56577AE1F86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B20:C27" firstHeaderRow="1" firstDataRow="1" firstDataCol="1"/>
  <pivotFields count="13">
    <pivotField dataField="1" showAll="0"/>
    <pivotField showAll="0"/>
    <pivotField showAll="0"/>
    <pivotField showAll="0"/>
    <pivotField numFmtId="14" showAll="0"/>
    <pivotField showAll="0"/>
    <pivotField showAll="0"/>
    <pivotField axis="axisRow" showAll="0">
      <items count="7">
        <item x="1"/>
        <item x="2"/>
        <item x="0"/>
        <item x="4"/>
        <item x="5"/>
        <item x="3"/>
        <item t="default"/>
      </items>
    </pivotField>
    <pivotField showAll="0"/>
    <pivotField showAll="0"/>
    <pivotField showAll="0"/>
    <pivotField numFmtId="164"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Diagnosis Distribution" fld="0" subtotal="count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C154A-A8AA-4EE7-8F9A-ACC547A93D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3:C5" firstHeaderRow="1" firstDataRow="1" firstDataCol="1"/>
  <pivotFields count="13"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numFmtId="164" showAll="0"/>
    <pivotField showAll="0"/>
  </pivotFields>
  <rowFields count="1">
    <field x="9"/>
  </rowFields>
  <rowItems count="2">
    <i>
      <x/>
    </i>
    <i t="grand">
      <x/>
    </i>
  </rowItems>
  <colItems count="1">
    <i/>
  </colItems>
  <dataFields count="1">
    <dataField name="Error Rate" fld="0" subtotal="count" showDataAs="percentOfTotal" baseField="8" baseItem="0" numFmtId="9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36CBB-9BFF-4157-9EA1-953023BB8C8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10" firstHeaderRow="1" firstDataRow="1" firstDataCol="1"/>
  <pivotFields count="13">
    <pivotField showAll="0"/>
    <pivotField showAll="0"/>
    <pivotField showAll="0"/>
    <pivotField showAll="0"/>
    <pivotField numFmtId="14" showAll="0"/>
    <pivotField showAll="0"/>
    <pivotField showAll="0"/>
    <pivotField axis="axisRow" showAll="0" sortType="descending">
      <items count="7">
        <item x="1"/>
        <item x="2"/>
        <item x="0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64" showAll="0"/>
    <pivotField showAll="0"/>
  </pivotFields>
  <rowFields count="1">
    <field x="7"/>
  </rowFields>
  <rowItems count="7">
    <i>
      <x v="1"/>
    </i>
    <i>
      <x v="3"/>
    </i>
    <i>
      <x v="2"/>
    </i>
    <i>
      <x/>
    </i>
    <i>
      <x v="5"/>
    </i>
    <i>
      <x v="4"/>
    </i>
    <i t="grand">
      <x/>
    </i>
  </rowItems>
  <colItems count="1">
    <i/>
  </colItems>
  <dataFields count="1">
    <dataField name="Average of Hospital_Stay_Days" fld="10" subtotal="average" baseField="7" baseItem="0"/>
  </dataFields>
  <formats count="6">
    <format dxfId="9">
      <pivotArea collapsedLevelsAreSubtotals="1" fieldPosition="0">
        <references count="1">
          <reference field="7" count="1">
            <x v="1"/>
          </reference>
        </references>
      </pivotArea>
    </format>
    <format dxfId="8">
      <pivotArea collapsedLevelsAreSubtotals="1" fieldPosition="0">
        <references count="1">
          <reference field="7" count="1">
            <x v="0"/>
          </reference>
        </references>
      </pivotArea>
    </format>
    <format dxfId="7">
      <pivotArea collapsedLevelsAreSubtotals="1" fieldPosition="0">
        <references count="1">
          <reference field="7" count="1">
            <x v="3"/>
          </reference>
        </references>
      </pivotArea>
    </format>
    <format dxfId="6">
      <pivotArea collapsedLevelsAreSubtotals="1" fieldPosition="0">
        <references count="1">
          <reference field="7" count="1">
            <x v="2"/>
          </reference>
        </references>
      </pivotArea>
    </format>
    <format dxfId="5">
      <pivotArea collapsedLevelsAreSubtotals="1" fieldPosition="0">
        <references count="1">
          <reference field="7" count="1">
            <x v="4"/>
          </reference>
        </references>
      </pivotArea>
    </format>
    <format dxfId="4">
      <pivotArea collapsedLevelsAreSubtotals="1" fieldPosition="0">
        <references count="1">
          <reference field="7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0FA8A-781B-4A39-8B56-41AAB83909D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F21:G27" firstHeaderRow="1" firstDataRow="1" firstDataCol="1" rowPageCount="1" colPageCount="1"/>
  <pivotFields count="13">
    <pivotField dataField="1"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numFmtId="14" showAll="0"/>
    <pivotField showAll="0"/>
    <pivotField showAll="0"/>
    <pivotField axis="axisPage" showAll="0">
      <items count="7">
        <item x="1"/>
        <item x="2"/>
        <item x="0"/>
        <item x="4"/>
        <item x="5"/>
        <item x="3"/>
        <item t="default"/>
      </items>
    </pivotField>
    <pivotField showAll="0"/>
    <pivotField showAll="0"/>
    <pivotField showAll="0"/>
    <pivotField numFmtId="16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item="3" hier="-1"/>
  </pageFields>
  <dataFields count="1">
    <dataField name="Rate of ill population" fld="0" subtotal="count" showDataAs="percentOfTotal" baseField="2" baseItem="0" numFmtId="1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348C4-984B-419A-99ED-96CD2AC62949}" name="Hospital" displayName="Hospital" ref="A1:M1001" totalsRowShown="0">
  <tableColumns count="13">
    <tableColumn id="1" xr3:uid="{5C172D9C-7730-440F-AA4A-06B2C8BFA98E}" name="Patient_ID"/>
    <tableColumn id="2" xr3:uid="{17386141-ED17-4C30-BF94-D98CBC95DAC4}" name="Age"/>
    <tableColumn id="13" xr3:uid="{78843D51-F6E5-4781-9F6E-CC8035910576}" name="Age_Range" dataDxfId="3">
      <calculatedColumnFormula>IF(Hospital[[#This Row],[Age]]&lt;=12,"Child",
IF(Hospital[[#This Row],[Age]]&lt;=19,"Teen",
IF(Hospital[[#This Row],[Age]]&lt;=35,"Young Adult",
IF(Hospital[[#This Row],[Age]]&lt;=59,"Adult",
"Senior"))))</calculatedColumnFormula>
    </tableColumn>
    <tableColumn id="3" xr3:uid="{CF2BEEEA-6B8A-405E-AB64-1578F65C56DD}" name="Gender"/>
    <tableColumn id="4" xr3:uid="{62FB6F13-8B5B-4C31-8543-D2A129478A13}" name="Visit_Date" dataDxfId="2"/>
    <tableColumn id="5" xr3:uid="{21E164AE-EB31-4550-9B3C-0BFD00BE1E87}" name="Month" dataDxfId="1">
      <calculatedColumnFormula>TEXT(E2, "mmmm")</calculatedColumnFormula>
    </tableColumn>
    <tableColumn id="6" xr3:uid="{A855453F-3C58-461B-A436-89F80D7EAF29}" name="Department"/>
    <tableColumn id="7" xr3:uid="{4A009D8F-CE73-4993-A4CD-5C9B031FEAAE}" name="Diagnosis"/>
    <tableColumn id="8" xr3:uid="{82090ADA-DA51-45E2-8638-D037E3E4FBDD}" name="Antibiotic_Prescribed"/>
    <tableColumn id="9" xr3:uid="{AC05AD2E-8788-4CF0-BF71-5BBB420B9E2C}" name="Data_Validation">
      <calculatedColumnFormula>IF(OR(G2="UTI", G2="Pneumonia", G2="Typhoid"),
   IF(H2="None","Error: Should have antibiotics","OK"),
   IF(H2&lt;&gt;"None","Error: Should be None","OK"))</calculatedColumnFormula>
    </tableColumn>
    <tableColumn id="10" xr3:uid="{A4D08539-FFF5-40F9-B690-A821E4CDEDD5}" name="Hospital_Stay_Days"/>
    <tableColumn id="11" xr3:uid="{09917ED7-8FB3-45BA-BA2F-E8C4339D61E8}" name="Treatment_Cost_USD" dataDxfId="0" dataCellStyle="Currency"/>
    <tableColumn id="12" xr3:uid="{6F62E69E-BFE5-43A7-8880-490A9CE24E75}" name="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AAD5-8B6D-4B13-8F8F-C516987284F4}">
  <dimension ref="A1:J1001"/>
  <sheetViews>
    <sheetView workbookViewId="0">
      <selection activeCell="F15" sqref="A1:J1001"/>
    </sheetView>
  </sheetViews>
  <sheetFormatPr defaultRowHeight="14.5" x14ac:dyDescent="0.35"/>
  <cols>
    <col min="4" max="4" width="10.453125" bestFit="1" customWidth="1"/>
    <col min="5" max="5" width="15.54296875" bestFit="1" customWidth="1"/>
    <col min="6" max="6" width="12" bestFit="1" customWidth="1"/>
    <col min="7" max="7" width="18.6328125" bestFit="1" customWidth="1"/>
    <col min="8" max="8" width="16.7265625" bestFit="1" customWidth="1"/>
    <col min="9" max="9" width="18.81640625" bestFit="1" customWidth="1"/>
    <col min="10" max="10" width="10" bestFit="1" customWidth="1"/>
  </cols>
  <sheetData>
    <row r="1" spans="1:10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 spans="1:10" x14ac:dyDescent="0.35">
      <c r="A2">
        <v>1</v>
      </c>
      <c r="B2">
        <v>4</v>
      </c>
      <c r="C2" t="s">
        <v>0</v>
      </c>
      <c r="D2" s="1">
        <v>45581</v>
      </c>
      <c r="E2" t="s">
        <v>1</v>
      </c>
      <c r="F2" t="s">
        <v>2</v>
      </c>
      <c r="G2" t="s">
        <v>3</v>
      </c>
      <c r="H2">
        <v>3</v>
      </c>
      <c r="I2">
        <v>86.98</v>
      </c>
      <c r="J2" t="s">
        <v>4</v>
      </c>
    </row>
    <row r="3" spans="1:10" x14ac:dyDescent="0.35">
      <c r="A3">
        <v>2</v>
      </c>
      <c r="B3">
        <v>70</v>
      </c>
      <c r="C3" t="s">
        <v>5</v>
      </c>
      <c r="D3" s="1">
        <v>45619</v>
      </c>
      <c r="E3" t="s">
        <v>6</v>
      </c>
      <c r="F3" t="s">
        <v>7</v>
      </c>
      <c r="G3" t="s">
        <v>3</v>
      </c>
      <c r="H3">
        <v>0</v>
      </c>
      <c r="I3">
        <v>34.299999999999997</v>
      </c>
      <c r="J3" t="s">
        <v>8</v>
      </c>
    </row>
    <row r="4" spans="1:10" x14ac:dyDescent="0.35">
      <c r="A4">
        <v>3</v>
      </c>
      <c r="B4">
        <v>78</v>
      </c>
      <c r="C4" t="s">
        <v>5</v>
      </c>
      <c r="D4" s="1">
        <v>45165</v>
      </c>
      <c r="E4" t="s">
        <v>1</v>
      </c>
      <c r="F4" t="s">
        <v>9</v>
      </c>
      <c r="G4" t="s">
        <v>3</v>
      </c>
      <c r="H4">
        <v>10</v>
      </c>
      <c r="I4">
        <v>356.64</v>
      </c>
      <c r="J4" t="s">
        <v>10</v>
      </c>
    </row>
    <row r="5" spans="1:10" x14ac:dyDescent="0.35">
      <c r="A5">
        <v>4</v>
      </c>
      <c r="B5">
        <v>76</v>
      </c>
      <c r="C5" t="s">
        <v>0</v>
      </c>
      <c r="D5" s="1">
        <v>45152</v>
      </c>
      <c r="E5" t="s">
        <v>11</v>
      </c>
      <c r="F5" t="s">
        <v>12</v>
      </c>
      <c r="G5" t="s">
        <v>13</v>
      </c>
      <c r="H5">
        <v>6</v>
      </c>
      <c r="I5">
        <v>183.32</v>
      </c>
      <c r="J5" t="s">
        <v>8</v>
      </c>
    </row>
    <row r="6" spans="1:10" x14ac:dyDescent="0.35">
      <c r="A6">
        <v>5</v>
      </c>
      <c r="B6">
        <v>14</v>
      </c>
      <c r="C6" t="s">
        <v>5</v>
      </c>
      <c r="D6" s="1">
        <v>45147</v>
      </c>
      <c r="E6" t="s">
        <v>6</v>
      </c>
      <c r="F6" t="s">
        <v>14</v>
      </c>
      <c r="G6" t="s">
        <v>15</v>
      </c>
      <c r="H6">
        <v>5</v>
      </c>
      <c r="I6">
        <v>426.8</v>
      </c>
      <c r="J6" t="s">
        <v>16</v>
      </c>
    </row>
    <row r="7" spans="1:10" x14ac:dyDescent="0.35">
      <c r="A7">
        <v>6</v>
      </c>
      <c r="B7">
        <v>59</v>
      </c>
      <c r="C7" t="s">
        <v>5</v>
      </c>
      <c r="D7" s="1">
        <v>44971</v>
      </c>
      <c r="E7" t="s">
        <v>6</v>
      </c>
      <c r="F7" t="s">
        <v>7</v>
      </c>
      <c r="G7" t="s">
        <v>3</v>
      </c>
      <c r="H7">
        <v>1</v>
      </c>
      <c r="I7">
        <v>284.98</v>
      </c>
      <c r="J7" t="s">
        <v>16</v>
      </c>
    </row>
    <row r="8" spans="1:10" x14ac:dyDescent="0.35">
      <c r="A8">
        <v>7</v>
      </c>
      <c r="B8">
        <v>9</v>
      </c>
      <c r="C8" t="s">
        <v>5</v>
      </c>
      <c r="D8" s="1">
        <v>45518</v>
      </c>
      <c r="E8" t="s">
        <v>1</v>
      </c>
      <c r="F8" t="s">
        <v>17</v>
      </c>
      <c r="G8" t="s">
        <v>18</v>
      </c>
      <c r="H8">
        <v>1</v>
      </c>
      <c r="I8">
        <v>430.55</v>
      </c>
      <c r="J8" t="s">
        <v>4</v>
      </c>
    </row>
    <row r="9" spans="1:10" x14ac:dyDescent="0.35">
      <c r="A9">
        <v>8</v>
      </c>
      <c r="B9">
        <v>59</v>
      </c>
      <c r="C9" t="s">
        <v>0</v>
      </c>
      <c r="D9" s="1">
        <v>45316</v>
      </c>
      <c r="E9" t="s">
        <v>1</v>
      </c>
      <c r="F9" t="s">
        <v>14</v>
      </c>
      <c r="G9" t="s">
        <v>18</v>
      </c>
      <c r="H9">
        <v>5</v>
      </c>
      <c r="I9">
        <v>120.56</v>
      </c>
      <c r="J9" t="s">
        <v>16</v>
      </c>
    </row>
    <row r="10" spans="1:10" x14ac:dyDescent="0.35">
      <c r="A10">
        <v>9</v>
      </c>
      <c r="B10">
        <v>83</v>
      </c>
      <c r="C10" t="s">
        <v>5</v>
      </c>
      <c r="D10" s="1">
        <v>45645</v>
      </c>
      <c r="E10" t="s">
        <v>1</v>
      </c>
      <c r="F10" t="s">
        <v>7</v>
      </c>
      <c r="G10" t="s">
        <v>3</v>
      </c>
      <c r="H10">
        <v>8</v>
      </c>
      <c r="I10">
        <v>369.98</v>
      </c>
      <c r="J10" t="s">
        <v>8</v>
      </c>
    </row>
    <row r="11" spans="1:10" x14ac:dyDescent="0.35">
      <c r="A11">
        <v>10</v>
      </c>
      <c r="B11">
        <v>35</v>
      </c>
      <c r="C11" t="s">
        <v>5</v>
      </c>
      <c r="D11" s="1">
        <v>45400</v>
      </c>
      <c r="E11" t="s">
        <v>19</v>
      </c>
      <c r="F11" t="s">
        <v>12</v>
      </c>
      <c r="G11" t="s">
        <v>15</v>
      </c>
      <c r="H11">
        <v>3</v>
      </c>
      <c r="I11">
        <v>414.47</v>
      </c>
      <c r="J11" t="s">
        <v>16</v>
      </c>
    </row>
    <row r="12" spans="1:10" x14ac:dyDescent="0.35">
      <c r="A12">
        <v>11</v>
      </c>
      <c r="B12">
        <v>9</v>
      </c>
      <c r="C12" t="s">
        <v>5</v>
      </c>
      <c r="D12" s="1">
        <v>45337</v>
      </c>
      <c r="E12" t="s">
        <v>19</v>
      </c>
      <c r="F12" t="s">
        <v>14</v>
      </c>
      <c r="G12" t="s">
        <v>13</v>
      </c>
      <c r="H12">
        <v>10</v>
      </c>
      <c r="I12">
        <v>259.63</v>
      </c>
      <c r="J12" t="s">
        <v>10</v>
      </c>
    </row>
    <row r="13" spans="1:10" x14ac:dyDescent="0.35">
      <c r="A13">
        <v>12</v>
      </c>
      <c r="B13">
        <v>18</v>
      </c>
      <c r="C13" t="s">
        <v>5</v>
      </c>
      <c r="D13" s="1">
        <v>45073</v>
      </c>
      <c r="E13" t="s">
        <v>19</v>
      </c>
      <c r="F13" t="s">
        <v>14</v>
      </c>
      <c r="G13" t="s">
        <v>3</v>
      </c>
      <c r="H13">
        <v>6</v>
      </c>
      <c r="I13">
        <v>450.95</v>
      </c>
      <c r="J13" t="s">
        <v>10</v>
      </c>
    </row>
    <row r="14" spans="1:10" x14ac:dyDescent="0.35">
      <c r="A14">
        <v>13</v>
      </c>
      <c r="B14">
        <v>18</v>
      </c>
      <c r="C14" t="s">
        <v>0</v>
      </c>
      <c r="D14" s="1">
        <v>45297</v>
      </c>
      <c r="E14" t="s">
        <v>11</v>
      </c>
      <c r="F14" t="s">
        <v>17</v>
      </c>
      <c r="G14" t="s">
        <v>15</v>
      </c>
      <c r="H14">
        <v>1</v>
      </c>
      <c r="I14">
        <v>93.36</v>
      </c>
      <c r="J14" t="s">
        <v>8</v>
      </c>
    </row>
    <row r="15" spans="1:10" x14ac:dyDescent="0.35">
      <c r="A15">
        <v>14</v>
      </c>
      <c r="B15">
        <v>77</v>
      </c>
      <c r="C15" t="s">
        <v>5</v>
      </c>
      <c r="D15" s="1">
        <v>45623</v>
      </c>
      <c r="E15" t="s">
        <v>6</v>
      </c>
      <c r="F15" t="s">
        <v>12</v>
      </c>
      <c r="G15" t="s">
        <v>20</v>
      </c>
      <c r="H15">
        <v>9</v>
      </c>
      <c r="I15">
        <v>498.14</v>
      </c>
      <c r="J15" t="s">
        <v>16</v>
      </c>
    </row>
    <row r="16" spans="1:10" x14ac:dyDescent="0.35">
      <c r="A16">
        <v>15</v>
      </c>
      <c r="B16">
        <v>15</v>
      </c>
      <c r="C16" t="s">
        <v>0</v>
      </c>
      <c r="D16" s="1">
        <v>45493</v>
      </c>
      <c r="E16" t="s">
        <v>19</v>
      </c>
      <c r="F16" t="s">
        <v>2</v>
      </c>
      <c r="G16" t="s">
        <v>3</v>
      </c>
      <c r="H16">
        <v>1</v>
      </c>
      <c r="I16">
        <v>160.88</v>
      </c>
      <c r="J16" t="s">
        <v>8</v>
      </c>
    </row>
    <row r="17" spans="1:10" x14ac:dyDescent="0.35">
      <c r="A17">
        <v>16</v>
      </c>
      <c r="B17">
        <v>34</v>
      </c>
      <c r="C17" t="s">
        <v>5</v>
      </c>
      <c r="D17" s="1">
        <v>45391</v>
      </c>
      <c r="E17" t="s">
        <v>11</v>
      </c>
      <c r="F17" t="s">
        <v>2</v>
      </c>
      <c r="G17" t="s">
        <v>3</v>
      </c>
      <c r="H17">
        <v>10</v>
      </c>
      <c r="I17">
        <v>163.25</v>
      </c>
      <c r="J17" t="s">
        <v>8</v>
      </c>
    </row>
    <row r="18" spans="1:10" x14ac:dyDescent="0.35">
      <c r="A18">
        <v>17</v>
      </c>
      <c r="B18">
        <v>21</v>
      </c>
      <c r="C18" t="s">
        <v>5</v>
      </c>
      <c r="D18" s="1">
        <v>45083</v>
      </c>
      <c r="E18" t="s">
        <v>19</v>
      </c>
      <c r="F18" t="s">
        <v>14</v>
      </c>
      <c r="G18" t="s">
        <v>20</v>
      </c>
      <c r="H18">
        <v>0</v>
      </c>
      <c r="I18">
        <v>73.7</v>
      </c>
      <c r="J18" t="s">
        <v>16</v>
      </c>
    </row>
    <row r="19" spans="1:10" x14ac:dyDescent="0.35">
      <c r="A19">
        <v>18</v>
      </c>
      <c r="B19">
        <v>8</v>
      </c>
      <c r="C19" t="s">
        <v>5</v>
      </c>
      <c r="D19" s="1">
        <v>45241</v>
      </c>
      <c r="E19" t="s">
        <v>11</v>
      </c>
      <c r="F19" t="s">
        <v>17</v>
      </c>
      <c r="G19" t="s">
        <v>15</v>
      </c>
      <c r="H19">
        <v>7</v>
      </c>
      <c r="I19">
        <v>411.69</v>
      </c>
      <c r="J19" t="s">
        <v>8</v>
      </c>
    </row>
    <row r="20" spans="1:10" x14ac:dyDescent="0.35">
      <c r="A20">
        <v>19</v>
      </c>
      <c r="B20">
        <v>61</v>
      </c>
      <c r="C20" t="s">
        <v>5</v>
      </c>
      <c r="D20" s="1">
        <v>45058</v>
      </c>
      <c r="E20" t="s">
        <v>19</v>
      </c>
      <c r="F20" t="s">
        <v>7</v>
      </c>
      <c r="G20" t="s">
        <v>3</v>
      </c>
      <c r="H20">
        <v>8</v>
      </c>
      <c r="I20">
        <v>438.77</v>
      </c>
      <c r="J20" t="s">
        <v>10</v>
      </c>
    </row>
    <row r="21" spans="1:10" x14ac:dyDescent="0.35">
      <c r="A21">
        <v>20</v>
      </c>
      <c r="B21">
        <v>26</v>
      </c>
      <c r="C21" t="s">
        <v>0</v>
      </c>
      <c r="D21" s="1">
        <v>45143</v>
      </c>
      <c r="E21" t="s">
        <v>6</v>
      </c>
      <c r="F21" t="s">
        <v>9</v>
      </c>
      <c r="G21" t="s">
        <v>3</v>
      </c>
      <c r="H21">
        <v>10</v>
      </c>
      <c r="I21">
        <v>331.94</v>
      </c>
      <c r="J21" t="s">
        <v>10</v>
      </c>
    </row>
    <row r="22" spans="1:10" x14ac:dyDescent="0.35">
      <c r="A22">
        <v>21</v>
      </c>
      <c r="B22">
        <v>16</v>
      </c>
      <c r="C22" t="s">
        <v>5</v>
      </c>
      <c r="D22" s="1">
        <v>45456</v>
      </c>
      <c r="E22" t="s">
        <v>1</v>
      </c>
      <c r="F22" t="s">
        <v>12</v>
      </c>
      <c r="G22" t="s">
        <v>15</v>
      </c>
      <c r="H22">
        <v>5</v>
      </c>
      <c r="I22">
        <v>30.1</v>
      </c>
      <c r="J22" t="s">
        <v>8</v>
      </c>
    </row>
    <row r="23" spans="1:10" x14ac:dyDescent="0.35">
      <c r="A23">
        <v>22</v>
      </c>
      <c r="B23">
        <v>1</v>
      </c>
      <c r="C23" t="s">
        <v>5</v>
      </c>
      <c r="D23" s="1">
        <v>45529</v>
      </c>
      <c r="E23" t="s">
        <v>11</v>
      </c>
      <c r="F23" t="s">
        <v>17</v>
      </c>
      <c r="G23" t="s">
        <v>13</v>
      </c>
      <c r="H23">
        <v>1</v>
      </c>
      <c r="I23">
        <v>454.6</v>
      </c>
      <c r="J23" t="s">
        <v>16</v>
      </c>
    </row>
    <row r="24" spans="1:10" x14ac:dyDescent="0.35">
      <c r="A24">
        <v>23</v>
      </c>
      <c r="B24">
        <v>31</v>
      </c>
      <c r="C24" t="s">
        <v>0</v>
      </c>
      <c r="D24" s="1">
        <v>44999</v>
      </c>
      <c r="E24" t="s">
        <v>6</v>
      </c>
      <c r="F24" t="s">
        <v>9</v>
      </c>
      <c r="G24" t="s">
        <v>3</v>
      </c>
      <c r="H24">
        <v>3</v>
      </c>
      <c r="I24">
        <v>278.83</v>
      </c>
      <c r="J24" t="s">
        <v>10</v>
      </c>
    </row>
    <row r="25" spans="1:10" x14ac:dyDescent="0.35">
      <c r="A25">
        <v>24</v>
      </c>
      <c r="B25">
        <v>53</v>
      </c>
      <c r="C25" t="s">
        <v>5</v>
      </c>
      <c r="D25" s="1">
        <v>45175</v>
      </c>
      <c r="E25" t="s">
        <v>11</v>
      </c>
      <c r="F25" t="s">
        <v>12</v>
      </c>
      <c r="G25" t="s">
        <v>15</v>
      </c>
      <c r="H25">
        <v>10</v>
      </c>
      <c r="I25">
        <v>226.9</v>
      </c>
      <c r="J25" t="s">
        <v>10</v>
      </c>
    </row>
    <row r="26" spans="1:10" x14ac:dyDescent="0.35">
      <c r="A26">
        <v>25</v>
      </c>
      <c r="B26">
        <v>7</v>
      </c>
      <c r="C26" t="s">
        <v>5</v>
      </c>
      <c r="D26" s="1">
        <v>45347</v>
      </c>
      <c r="E26" t="s">
        <v>11</v>
      </c>
      <c r="F26" t="s">
        <v>12</v>
      </c>
      <c r="G26" t="s">
        <v>20</v>
      </c>
      <c r="H26">
        <v>5</v>
      </c>
      <c r="I26">
        <v>404.28</v>
      </c>
      <c r="J26" t="s">
        <v>4</v>
      </c>
    </row>
    <row r="27" spans="1:10" x14ac:dyDescent="0.35">
      <c r="A27">
        <v>26</v>
      </c>
      <c r="B27">
        <v>25</v>
      </c>
      <c r="C27" t="s">
        <v>0</v>
      </c>
      <c r="D27" s="1">
        <v>45181</v>
      </c>
      <c r="E27" t="s">
        <v>1</v>
      </c>
      <c r="F27" t="s">
        <v>17</v>
      </c>
      <c r="G27" t="s">
        <v>20</v>
      </c>
      <c r="H27">
        <v>2</v>
      </c>
      <c r="I27">
        <v>153.69999999999999</v>
      </c>
      <c r="J27" t="s">
        <v>8</v>
      </c>
    </row>
    <row r="28" spans="1:10" x14ac:dyDescent="0.35">
      <c r="A28">
        <v>27</v>
      </c>
      <c r="B28">
        <v>71</v>
      </c>
      <c r="C28" t="s">
        <v>5</v>
      </c>
      <c r="D28" s="1">
        <v>45004</v>
      </c>
      <c r="E28" t="s">
        <v>11</v>
      </c>
      <c r="F28" t="s">
        <v>12</v>
      </c>
      <c r="G28" t="s">
        <v>3</v>
      </c>
      <c r="H28">
        <v>0</v>
      </c>
      <c r="I28">
        <v>485.12</v>
      </c>
      <c r="J28" t="s">
        <v>8</v>
      </c>
    </row>
    <row r="29" spans="1:10" x14ac:dyDescent="0.35">
      <c r="A29">
        <v>28</v>
      </c>
      <c r="B29">
        <v>63</v>
      </c>
      <c r="C29" t="s">
        <v>0</v>
      </c>
      <c r="D29" s="1">
        <v>45097</v>
      </c>
      <c r="E29" t="s">
        <v>1</v>
      </c>
      <c r="F29" t="s">
        <v>12</v>
      </c>
      <c r="G29" t="s">
        <v>20</v>
      </c>
      <c r="H29">
        <v>0</v>
      </c>
      <c r="I29">
        <v>99.03</v>
      </c>
      <c r="J29" t="s">
        <v>4</v>
      </c>
    </row>
    <row r="30" spans="1:10" x14ac:dyDescent="0.35">
      <c r="A30">
        <v>29</v>
      </c>
      <c r="B30">
        <v>59</v>
      </c>
      <c r="C30" t="s">
        <v>0</v>
      </c>
      <c r="D30" s="1">
        <v>45326</v>
      </c>
      <c r="E30" t="s">
        <v>6</v>
      </c>
      <c r="F30" t="s">
        <v>14</v>
      </c>
      <c r="G30" t="s">
        <v>3</v>
      </c>
      <c r="H30">
        <v>10</v>
      </c>
      <c r="I30">
        <v>364.84</v>
      </c>
      <c r="J30" t="s">
        <v>8</v>
      </c>
    </row>
    <row r="31" spans="1:10" x14ac:dyDescent="0.35">
      <c r="A31">
        <v>30</v>
      </c>
      <c r="B31">
        <v>28</v>
      </c>
      <c r="C31" t="s">
        <v>5</v>
      </c>
      <c r="D31" s="1">
        <v>45121</v>
      </c>
      <c r="E31" t="s">
        <v>11</v>
      </c>
      <c r="F31" t="s">
        <v>14</v>
      </c>
      <c r="G31" t="s">
        <v>18</v>
      </c>
      <c r="H31">
        <v>0</v>
      </c>
      <c r="I31">
        <v>44.07</v>
      </c>
      <c r="J31" t="s">
        <v>10</v>
      </c>
    </row>
    <row r="32" spans="1:10" x14ac:dyDescent="0.35">
      <c r="A32">
        <v>31</v>
      </c>
      <c r="B32">
        <v>21</v>
      </c>
      <c r="C32" t="s">
        <v>5</v>
      </c>
      <c r="D32" s="1">
        <v>45441</v>
      </c>
      <c r="E32" t="s">
        <v>11</v>
      </c>
      <c r="F32" t="s">
        <v>9</v>
      </c>
      <c r="G32" t="s">
        <v>3</v>
      </c>
      <c r="H32">
        <v>2</v>
      </c>
      <c r="I32">
        <v>52.89</v>
      </c>
      <c r="J32" t="s">
        <v>4</v>
      </c>
    </row>
    <row r="33" spans="1:10" x14ac:dyDescent="0.35">
      <c r="A33">
        <v>32</v>
      </c>
      <c r="B33">
        <v>52</v>
      </c>
      <c r="C33" t="s">
        <v>5</v>
      </c>
      <c r="D33" s="1">
        <v>45618</v>
      </c>
      <c r="E33" t="s">
        <v>1</v>
      </c>
      <c r="F33" t="s">
        <v>17</v>
      </c>
      <c r="G33" t="s">
        <v>3</v>
      </c>
      <c r="H33">
        <v>9</v>
      </c>
      <c r="I33">
        <v>39.08</v>
      </c>
      <c r="J33" t="s">
        <v>4</v>
      </c>
    </row>
    <row r="34" spans="1:10" x14ac:dyDescent="0.35">
      <c r="A34">
        <v>33</v>
      </c>
      <c r="B34">
        <v>75</v>
      </c>
      <c r="C34" t="s">
        <v>0</v>
      </c>
      <c r="D34" s="1">
        <v>45356</v>
      </c>
      <c r="E34" t="s">
        <v>19</v>
      </c>
      <c r="F34" t="s">
        <v>7</v>
      </c>
      <c r="G34" t="s">
        <v>3</v>
      </c>
      <c r="H34">
        <v>3</v>
      </c>
      <c r="I34">
        <v>341.47</v>
      </c>
      <c r="J34" t="s">
        <v>16</v>
      </c>
    </row>
    <row r="35" spans="1:10" x14ac:dyDescent="0.35">
      <c r="A35">
        <v>34</v>
      </c>
      <c r="B35">
        <v>51</v>
      </c>
      <c r="C35" t="s">
        <v>5</v>
      </c>
      <c r="D35" s="1">
        <v>45171</v>
      </c>
      <c r="E35" t="s">
        <v>19</v>
      </c>
      <c r="F35" t="s">
        <v>14</v>
      </c>
      <c r="G35" t="s">
        <v>20</v>
      </c>
      <c r="H35">
        <v>5</v>
      </c>
      <c r="I35">
        <v>465.93</v>
      </c>
      <c r="J35" t="s">
        <v>4</v>
      </c>
    </row>
    <row r="36" spans="1:10" x14ac:dyDescent="0.35">
      <c r="A36">
        <v>35</v>
      </c>
      <c r="B36">
        <v>80</v>
      </c>
      <c r="C36" t="s">
        <v>5</v>
      </c>
      <c r="D36" s="1">
        <v>44936</v>
      </c>
      <c r="E36" t="s">
        <v>11</v>
      </c>
      <c r="F36" t="s">
        <v>12</v>
      </c>
      <c r="G36" t="s">
        <v>3</v>
      </c>
      <c r="H36">
        <v>3</v>
      </c>
      <c r="I36">
        <v>262.82</v>
      </c>
      <c r="J36" t="s">
        <v>8</v>
      </c>
    </row>
    <row r="37" spans="1:10" x14ac:dyDescent="0.35">
      <c r="A37">
        <v>36</v>
      </c>
      <c r="B37">
        <v>32</v>
      </c>
      <c r="C37" t="s">
        <v>0</v>
      </c>
      <c r="D37" s="1">
        <v>45284</v>
      </c>
      <c r="E37" t="s">
        <v>19</v>
      </c>
      <c r="F37" t="s">
        <v>2</v>
      </c>
      <c r="G37" t="s">
        <v>3</v>
      </c>
      <c r="H37">
        <v>2</v>
      </c>
      <c r="I37">
        <v>230.33</v>
      </c>
      <c r="J37" t="s">
        <v>16</v>
      </c>
    </row>
    <row r="38" spans="1:10" x14ac:dyDescent="0.35">
      <c r="A38">
        <v>37</v>
      </c>
      <c r="B38">
        <v>68</v>
      </c>
      <c r="C38" t="s">
        <v>5</v>
      </c>
      <c r="D38" s="1">
        <v>45553</v>
      </c>
      <c r="E38" t="s">
        <v>19</v>
      </c>
      <c r="F38" t="s">
        <v>7</v>
      </c>
      <c r="G38" t="s">
        <v>3</v>
      </c>
      <c r="H38">
        <v>10</v>
      </c>
      <c r="I38">
        <v>69.72</v>
      </c>
      <c r="J38" t="s">
        <v>8</v>
      </c>
    </row>
    <row r="39" spans="1:10" x14ac:dyDescent="0.35">
      <c r="A39">
        <v>38</v>
      </c>
      <c r="B39">
        <v>14</v>
      </c>
      <c r="C39" t="s">
        <v>5</v>
      </c>
      <c r="D39" s="1">
        <v>45197</v>
      </c>
      <c r="E39" t="s">
        <v>19</v>
      </c>
      <c r="F39" t="s">
        <v>2</v>
      </c>
      <c r="G39" t="s">
        <v>3</v>
      </c>
      <c r="H39">
        <v>4</v>
      </c>
      <c r="I39">
        <v>310.32</v>
      </c>
      <c r="J39" t="s">
        <v>16</v>
      </c>
    </row>
    <row r="40" spans="1:10" x14ac:dyDescent="0.35">
      <c r="A40">
        <v>39</v>
      </c>
      <c r="B40">
        <v>82</v>
      </c>
      <c r="C40" t="s">
        <v>0</v>
      </c>
      <c r="D40" s="1">
        <v>45135</v>
      </c>
      <c r="E40" t="s">
        <v>6</v>
      </c>
      <c r="F40" t="s">
        <v>7</v>
      </c>
      <c r="G40" t="s">
        <v>3</v>
      </c>
      <c r="H40">
        <v>4</v>
      </c>
      <c r="I40">
        <v>454.56</v>
      </c>
      <c r="J40" t="s">
        <v>4</v>
      </c>
    </row>
    <row r="41" spans="1:10" x14ac:dyDescent="0.35">
      <c r="A41">
        <v>40</v>
      </c>
      <c r="B41">
        <v>55</v>
      </c>
      <c r="C41" t="s">
        <v>0</v>
      </c>
      <c r="D41" s="1">
        <v>45021</v>
      </c>
      <c r="E41" t="s">
        <v>11</v>
      </c>
      <c r="F41" t="s">
        <v>7</v>
      </c>
      <c r="G41" t="s">
        <v>3</v>
      </c>
      <c r="H41">
        <v>0</v>
      </c>
      <c r="I41">
        <v>180.11</v>
      </c>
      <c r="J41" t="s">
        <v>8</v>
      </c>
    </row>
    <row r="42" spans="1:10" x14ac:dyDescent="0.35">
      <c r="A42">
        <v>41</v>
      </c>
      <c r="B42">
        <v>21</v>
      </c>
      <c r="C42" t="s">
        <v>0</v>
      </c>
      <c r="D42" s="1">
        <v>45579</v>
      </c>
      <c r="E42" t="s">
        <v>6</v>
      </c>
      <c r="F42" t="s">
        <v>14</v>
      </c>
      <c r="G42" t="s">
        <v>3</v>
      </c>
      <c r="H42">
        <v>0</v>
      </c>
      <c r="I42">
        <v>73.7</v>
      </c>
      <c r="J42" t="s">
        <v>8</v>
      </c>
    </row>
    <row r="43" spans="1:10" x14ac:dyDescent="0.35">
      <c r="A43">
        <v>42</v>
      </c>
      <c r="B43">
        <v>48</v>
      </c>
      <c r="C43" t="s">
        <v>5</v>
      </c>
      <c r="D43" s="1">
        <v>45485</v>
      </c>
      <c r="E43" t="s">
        <v>6</v>
      </c>
      <c r="F43" t="s">
        <v>2</v>
      </c>
      <c r="G43" t="s">
        <v>3</v>
      </c>
      <c r="H43">
        <v>2</v>
      </c>
      <c r="I43">
        <v>40.08</v>
      </c>
      <c r="J43" t="s">
        <v>16</v>
      </c>
    </row>
    <row r="44" spans="1:10" x14ac:dyDescent="0.35">
      <c r="A44">
        <v>43</v>
      </c>
      <c r="B44">
        <v>27</v>
      </c>
      <c r="C44" t="s">
        <v>5</v>
      </c>
      <c r="D44" s="1">
        <v>44967</v>
      </c>
      <c r="E44" t="s">
        <v>11</v>
      </c>
      <c r="F44" t="s">
        <v>14</v>
      </c>
      <c r="G44" t="s">
        <v>18</v>
      </c>
      <c r="H44">
        <v>8</v>
      </c>
      <c r="I44">
        <v>444.38</v>
      </c>
      <c r="J44" t="s">
        <v>10</v>
      </c>
    </row>
    <row r="45" spans="1:10" x14ac:dyDescent="0.35">
      <c r="A45">
        <v>44</v>
      </c>
      <c r="B45">
        <v>20</v>
      </c>
      <c r="C45" t="s">
        <v>5</v>
      </c>
      <c r="D45" s="1">
        <v>45562</v>
      </c>
      <c r="E45" t="s">
        <v>1</v>
      </c>
      <c r="F45" t="s">
        <v>7</v>
      </c>
      <c r="G45" t="s">
        <v>3</v>
      </c>
      <c r="H45">
        <v>2</v>
      </c>
      <c r="I45">
        <v>443.08</v>
      </c>
      <c r="J45" t="s">
        <v>4</v>
      </c>
    </row>
    <row r="46" spans="1:10" x14ac:dyDescent="0.35">
      <c r="A46">
        <v>45</v>
      </c>
      <c r="B46">
        <v>43</v>
      </c>
      <c r="C46" t="s">
        <v>0</v>
      </c>
      <c r="D46" s="1">
        <v>45110</v>
      </c>
      <c r="E46" t="s">
        <v>1</v>
      </c>
      <c r="F46" t="s">
        <v>7</v>
      </c>
      <c r="G46" t="s">
        <v>3</v>
      </c>
      <c r="H46">
        <v>4</v>
      </c>
      <c r="I46">
        <v>96.41</v>
      </c>
      <c r="J46" t="s">
        <v>4</v>
      </c>
    </row>
    <row r="47" spans="1:10" x14ac:dyDescent="0.35">
      <c r="A47">
        <v>46</v>
      </c>
      <c r="B47">
        <v>61</v>
      </c>
      <c r="C47" t="s">
        <v>5</v>
      </c>
      <c r="D47" s="1">
        <v>45318</v>
      </c>
      <c r="E47" t="s">
        <v>1</v>
      </c>
      <c r="F47" t="s">
        <v>2</v>
      </c>
      <c r="G47" t="s">
        <v>3</v>
      </c>
      <c r="H47">
        <v>7</v>
      </c>
      <c r="I47">
        <v>187.84</v>
      </c>
      <c r="J47" t="s">
        <v>8</v>
      </c>
    </row>
    <row r="48" spans="1:10" x14ac:dyDescent="0.35">
      <c r="A48">
        <v>47</v>
      </c>
      <c r="B48">
        <v>85</v>
      </c>
      <c r="C48" t="s">
        <v>5</v>
      </c>
      <c r="D48" s="1">
        <v>45155</v>
      </c>
      <c r="E48" t="s">
        <v>6</v>
      </c>
      <c r="F48" t="s">
        <v>2</v>
      </c>
      <c r="G48" t="s">
        <v>3</v>
      </c>
      <c r="H48">
        <v>5</v>
      </c>
      <c r="I48">
        <v>153.72999999999999</v>
      </c>
      <c r="J48" t="s">
        <v>4</v>
      </c>
    </row>
    <row r="49" spans="1:10" x14ac:dyDescent="0.35">
      <c r="A49">
        <v>48</v>
      </c>
      <c r="B49">
        <v>83</v>
      </c>
      <c r="C49" t="s">
        <v>0</v>
      </c>
      <c r="D49" s="1">
        <v>45212</v>
      </c>
      <c r="E49" t="s">
        <v>19</v>
      </c>
      <c r="F49" t="s">
        <v>14</v>
      </c>
      <c r="G49" t="s">
        <v>15</v>
      </c>
      <c r="H49">
        <v>1</v>
      </c>
      <c r="I49">
        <v>440.98</v>
      </c>
      <c r="J49" t="s">
        <v>16</v>
      </c>
    </row>
    <row r="50" spans="1:10" x14ac:dyDescent="0.35">
      <c r="A50">
        <v>49</v>
      </c>
      <c r="B50">
        <v>34</v>
      </c>
      <c r="C50" t="s">
        <v>5</v>
      </c>
      <c r="D50" s="1">
        <v>45109</v>
      </c>
      <c r="E50" t="s">
        <v>11</v>
      </c>
      <c r="F50" t="s">
        <v>9</v>
      </c>
      <c r="G50" t="s">
        <v>3</v>
      </c>
      <c r="H50">
        <v>9</v>
      </c>
      <c r="I50">
        <v>228.59</v>
      </c>
      <c r="J50" t="s">
        <v>16</v>
      </c>
    </row>
    <row r="51" spans="1:10" x14ac:dyDescent="0.35">
      <c r="A51">
        <v>50</v>
      </c>
      <c r="B51">
        <v>66</v>
      </c>
      <c r="C51" t="s">
        <v>5</v>
      </c>
      <c r="D51" s="1">
        <v>45373</v>
      </c>
      <c r="E51" t="s">
        <v>6</v>
      </c>
      <c r="F51" t="s">
        <v>9</v>
      </c>
      <c r="G51" t="s">
        <v>3</v>
      </c>
      <c r="H51">
        <v>9</v>
      </c>
      <c r="I51">
        <v>111.24</v>
      </c>
      <c r="J51" t="s">
        <v>4</v>
      </c>
    </row>
    <row r="52" spans="1:10" x14ac:dyDescent="0.35">
      <c r="A52">
        <v>51</v>
      </c>
      <c r="B52">
        <v>1</v>
      </c>
      <c r="C52" t="s">
        <v>5</v>
      </c>
      <c r="D52" s="1">
        <v>45652</v>
      </c>
      <c r="E52" t="s">
        <v>19</v>
      </c>
      <c r="F52" t="s">
        <v>12</v>
      </c>
      <c r="G52" t="s">
        <v>20</v>
      </c>
      <c r="H52">
        <v>1</v>
      </c>
      <c r="I52">
        <v>475.46</v>
      </c>
      <c r="J52" t="s">
        <v>16</v>
      </c>
    </row>
    <row r="53" spans="1:10" x14ac:dyDescent="0.35">
      <c r="A53">
        <v>52</v>
      </c>
      <c r="B53">
        <v>85</v>
      </c>
      <c r="C53" t="s">
        <v>5</v>
      </c>
      <c r="D53" s="1">
        <v>45565</v>
      </c>
      <c r="E53" t="s">
        <v>19</v>
      </c>
      <c r="F53" t="s">
        <v>14</v>
      </c>
      <c r="G53" t="s">
        <v>3</v>
      </c>
      <c r="H53">
        <v>4</v>
      </c>
      <c r="I53">
        <v>340.11</v>
      </c>
      <c r="J53" t="s">
        <v>16</v>
      </c>
    </row>
    <row r="54" spans="1:10" x14ac:dyDescent="0.35">
      <c r="A54">
        <v>53</v>
      </c>
      <c r="B54">
        <v>38</v>
      </c>
      <c r="C54" t="s">
        <v>5</v>
      </c>
      <c r="D54" s="1">
        <v>45339</v>
      </c>
      <c r="E54" t="s">
        <v>1</v>
      </c>
      <c r="F54" t="s">
        <v>7</v>
      </c>
      <c r="G54" t="s">
        <v>3</v>
      </c>
      <c r="H54">
        <v>6</v>
      </c>
      <c r="I54">
        <v>339.17</v>
      </c>
      <c r="J54" t="s">
        <v>10</v>
      </c>
    </row>
    <row r="55" spans="1:10" x14ac:dyDescent="0.35">
      <c r="A55">
        <v>54</v>
      </c>
      <c r="B55">
        <v>23</v>
      </c>
      <c r="C55" t="s">
        <v>0</v>
      </c>
      <c r="D55" s="1">
        <v>45620</v>
      </c>
      <c r="E55" t="s">
        <v>6</v>
      </c>
      <c r="F55" t="s">
        <v>7</v>
      </c>
      <c r="G55" t="s">
        <v>3</v>
      </c>
      <c r="H55">
        <v>8</v>
      </c>
      <c r="I55">
        <v>420.19</v>
      </c>
      <c r="J55" t="s">
        <v>16</v>
      </c>
    </row>
    <row r="56" spans="1:10" x14ac:dyDescent="0.35">
      <c r="A56">
        <v>55</v>
      </c>
      <c r="B56">
        <v>56</v>
      </c>
      <c r="C56" t="s">
        <v>0</v>
      </c>
      <c r="D56" s="1">
        <v>45220</v>
      </c>
      <c r="E56" t="s">
        <v>6</v>
      </c>
      <c r="F56" t="s">
        <v>17</v>
      </c>
      <c r="G56" t="s">
        <v>20</v>
      </c>
      <c r="H56">
        <v>7</v>
      </c>
      <c r="I56">
        <v>344.3</v>
      </c>
      <c r="J56" t="s">
        <v>10</v>
      </c>
    </row>
    <row r="57" spans="1:10" x14ac:dyDescent="0.35">
      <c r="A57">
        <v>56</v>
      </c>
      <c r="B57">
        <v>11</v>
      </c>
      <c r="C57" t="s">
        <v>0</v>
      </c>
      <c r="D57" s="1">
        <v>45100</v>
      </c>
      <c r="E57" t="s">
        <v>19</v>
      </c>
      <c r="F57" t="s">
        <v>7</v>
      </c>
      <c r="G57" t="s">
        <v>3</v>
      </c>
      <c r="H57">
        <v>1</v>
      </c>
      <c r="I57">
        <v>412.84</v>
      </c>
      <c r="J57" t="s">
        <v>8</v>
      </c>
    </row>
    <row r="58" spans="1:10" x14ac:dyDescent="0.35">
      <c r="A58">
        <v>57</v>
      </c>
      <c r="B58">
        <v>29</v>
      </c>
      <c r="C58" t="s">
        <v>5</v>
      </c>
      <c r="D58" s="1">
        <v>45615</v>
      </c>
      <c r="E58" t="s">
        <v>1</v>
      </c>
      <c r="F58" t="s">
        <v>14</v>
      </c>
      <c r="G58" t="s">
        <v>15</v>
      </c>
      <c r="H58">
        <v>0</v>
      </c>
      <c r="I58">
        <v>137.52000000000001</v>
      </c>
      <c r="J58" t="s">
        <v>10</v>
      </c>
    </row>
    <row r="59" spans="1:10" x14ac:dyDescent="0.35">
      <c r="A59">
        <v>58</v>
      </c>
      <c r="B59">
        <v>59</v>
      </c>
      <c r="C59" t="s">
        <v>0</v>
      </c>
      <c r="D59" s="1">
        <v>45552</v>
      </c>
      <c r="E59" t="s">
        <v>1</v>
      </c>
      <c r="F59" t="s">
        <v>2</v>
      </c>
      <c r="G59" t="s">
        <v>3</v>
      </c>
      <c r="H59">
        <v>6</v>
      </c>
      <c r="I59">
        <v>257.3</v>
      </c>
      <c r="J59" t="s">
        <v>8</v>
      </c>
    </row>
    <row r="60" spans="1:10" x14ac:dyDescent="0.35">
      <c r="A60">
        <v>59</v>
      </c>
      <c r="B60">
        <v>1</v>
      </c>
      <c r="C60" t="s">
        <v>5</v>
      </c>
      <c r="D60" s="1">
        <v>45078</v>
      </c>
      <c r="E60" t="s">
        <v>6</v>
      </c>
      <c r="F60" t="s">
        <v>7</v>
      </c>
      <c r="G60" t="s">
        <v>3</v>
      </c>
      <c r="H60">
        <v>3</v>
      </c>
      <c r="I60">
        <v>104.43</v>
      </c>
      <c r="J60" t="s">
        <v>10</v>
      </c>
    </row>
    <row r="61" spans="1:10" x14ac:dyDescent="0.35">
      <c r="A61">
        <v>60</v>
      </c>
      <c r="B61">
        <v>32</v>
      </c>
      <c r="C61" t="s">
        <v>5</v>
      </c>
      <c r="D61" s="1">
        <v>44978</v>
      </c>
      <c r="E61" t="s">
        <v>6</v>
      </c>
      <c r="F61" t="s">
        <v>9</v>
      </c>
      <c r="G61" t="s">
        <v>3</v>
      </c>
      <c r="H61">
        <v>2</v>
      </c>
      <c r="I61">
        <v>404.68</v>
      </c>
      <c r="J61" t="s">
        <v>16</v>
      </c>
    </row>
    <row r="62" spans="1:10" x14ac:dyDescent="0.35">
      <c r="A62">
        <v>61</v>
      </c>
      <c r="B62">
        <v>65</v>
      </c>
      <c r="C62" t="s">
        <v>0</v>
      </c>
      <c r="D62" s="1">
        <v>45380</v>
      </c>
      <c r="E62" t="s">
        <v>6</v>
      </c>
      <c r="F62" t="s">
        <v>9</v>
      </c>
      <c r="G62" t="s">
        <v>3</v>
      </c>
      <c r="H62">
        <v>2</v>
      </c>
      <c r="I62">
        <v>376.95</v>
      </c>
      <c r="J62" t="s">
        <v>10</v>
      </c>
    </row>
    <row r="63" spans="1:10" x14ac:dyDescent="0.35">
      <c r="A63">
        <v>62</v>
      </c>
      <c r="B63">
        <v>32</v>
      </c>
      <c r="C63" t="s">
        <v>0</v>
      </c>
      <c r="D63" s="1">
        <v>45387</v>
      </c>
      <c r="E63" t="s">
        <v>6</v>
      </c>
      <c r="F63" t="s">
        <v>14</v>
      </c>
      <c r="G63" t="s">
        <v>13</v>
      </c>
      <c r="H63">
        <v>4</v>
      </c>
      <c r="I63">
        <v>231.14</v>
      </c>
      <c r="J63" t="s">
        <v>16</v>
      </c>
    </row>
    <row r="64" spans="1:10" x14ac:dyDescent="0.35">
      <c r="A64">
        <v>63</v>
      </c>
      <c r="B64">
        <v>43</v>
      </c>
      <c r="C64" t="s">
        <v>0</v>
      </c>
      <c r="D64" s="1">
        <v>45167</v>
      </c>
      <c r="E64" t="s">
        <v>11</v>
      </c>
      <c r="F64" t="s">
        <v>14</v>
      </c>
      <c r="G64" t="s">
        <v>13</v>
      </c>
      <c r="H64">
        <v>2</v>
      </c>
      <c r="I64">
        <v>131.01</v>
      </c>
      <c r="J64" t="s">
        <v>8</v>
      </c>
    </row>
    <row r="65" spans="1:10" x14ac:dyDescent="0.35">
      <c r="A65">
        <v>64</v>
      </c>
      <c r="B65">
        <v>9</v>
      </c>
      <c r="C65" t="s">
        <v>0</v>
      </c>
      <c r="D65" s="1">
        <v>45650</v>
      </c>
      <c r="E65" t="s">
        <v>6</v>
      </c>
      <c r="F65" t="s">
        <v>17</v>
      </c>
      <c r="G65" t="s">
        <v>18</v>
      </c>
      <c r="H65">
        <v>8</v>
      </c>
      <c r="I65">
        <v>243.64</v>
      </c>
      <c r="J65" t="s">
        <v>4</v>
      </c>
    </row>
    <row r="66" spans="1:10" x14ac:dyDescent="0.35">
      <c r="A66">
        <v>65</v>
      </c>
      <c r="B66">
        <v>50</v>
      </c>
      <c r="C66" t="s">
        <v>5</v>
      </c>
      <c r="D66" s="1">
        <v>45138</v>
      </c>
      <c r="E66" t="s">
        <v>6</v>
      </c>
      <c r="F66" t="s">
        <v>12</v>
      </c>
      <c r="G66" t="s">
        <v>20</v>
      </c>
      <c r="H66">
        <v>0</v>
      </c>
      <c r="I66">
        <v>472.52</v>
      </c>
      <c r="J66" t="s">
        <v>16</v>
      </c>
    </row>
    <row r="67" spans="1:10" x14ac:dyDescent="0.35">
      <c r="A67">
        <v>66</v>
      </c>
      <c r="B67">
        <v>69</v>
      </c>
      <c r="C67" t="s">
        <v>5</v>
      </c>
      <c r="D67" s="1">
        <v>45326</v>
      </c>
      <c r="E67" t="s">
        <v>6</v>
      </c>
      <c r="F67" t="s">
        <v>12</v>
      </c>
      <c r="G67" t="s">
        <v>13</v>
      </c>
      <c r="H67">
        <v>4</v>
      </c>
      <c r="I67">
        <v>229.2</v>
      </c>
      <c r="J67" t="s">
        <v>4</v>
      </c>
    </row>
    <row r="68" spans="1:10" x14ac:dyDescent="0.35">
      <c r="A68">
        <v>67</v>
      </c>
      <c r="B68">
        <v>52</v>
      </c>
      <c r="C68" t="s">
        <v>5</v>
      </c>
      <c r="D68" s="1">
        <v>45325</v>
      </c>
      <c r="E68" t="s">
        <v>6</v>
      </c>
      <c r="F68" t="s">
        <v>14</v>
      </c>
      <c r="G68" t="s">
        <v>13</v>
      </c>
      <c r="H68">
        <v>9</v>
      </c>
      <c r="I68">
        <v>276.38</v>
      </c>
      <c r="J68" t="s">
        <v>10</v>
      </c>
    </row>
    <row r="69" spans="1:10" x14ac:dyDescent="0.35">
      <c r="A69">
        <v>68</v>
      </c>
      <c r="B69">
        <v>85</v>
      </c>
      <c r="C69" t="s">
        <v>5</v>
      </c>
      <c r="D69" s="1">
        <v>45533</v>
      </c>
      <c r="E69" t="s">
        <v>11</v>
      </c>
      <c r="F69" t="s">
        <v>9</v>
      </c>
      <c r="G69" t="s">
        <v>3</v>
      </c>
      <c r="H69">
        <v>10</v>
      </c>
      <c r="I69">
        <v>225.73</v>
      </c>
      <c r="J69" t="s">
        <v>10</v>
      </c>
    </row>
    <row r="70" spans="1:10" x14ac:dyDescent="0.35">
      <c r="A70">
        <v>69</v>
      </c>
      <c r="B70">
        <v>34</v>
      </c>
      <c r="C70" t="s">
        <v>0</v>
      </c>
      <c r="D70" s="1">
        <v>45113</v>
      </c>
      <c r="E70" t="s">
        <v>19</v>
      </c>
      <c r="F70" t="s">
        <v>2</v>
      </c>
      <c r="G70" t="s">
        <v>3</v>
      </c>
      <c r="H70">
        <v>3</v>
      </c>
      <c r="I70">
        <v>238.26</v>
      </c>
      <c r="J70" t="s">
        <v>16</v>
      </c>
    </row>
    <row r="71" spans="1:10" x14ac:dyDescent="0.35">
      <c r="A71">
        <v>70</v>
      </c>
      <c r="B71">
        <v>54</v>
      </c>
      <c r="C71" t="s">
        <v>0</v>
      </c>
      <c r="D71" s="1">
        <v>45315</v>
      </c>
      <c r="E71" t="s">
        <v>11</v>
      </c>
      <c r="F71" t="s">
        <v>14</v>
      </c>
      <c r="G71" t="s">
        <v>20</v>
      </c>
      <c r="H71">
        <v>0</v>
      </c>
      <c r="I71">
        <v>379.53</v>
      </c>
      <c r="J71" t="s">
        <v>4</v>
      </c>
    </row>
    <row r="72" spans="1:10" x14ac:dyDescent="0.35">
      <c r="A72">
        <v>71</v>
      </c>
      <c r="B72">
        <v>84</v>
      </c>
      <c r="C72" t="s">
        <v>5</v>
      </c>
      <c r="D72" s="1">
        <v>45285</v>
      </c>
      <c r="E72" t="s">
        <v>11</v>
      </c>
      <c r="F72" t="s">
        <v>17</v>
      </c>
      <c r="G72" t="s">
        <v>15</v>
      </c>
      <c r="H72">
        <v>3</v>
      </c>
      <c r="I72">
        <v>115.69</v>
      </c>
      <c r="J72" t="s">
        <v>4</v>
      </c>
    </row>
    <row r="73" spans="1:10" x14ac:dyDescent="0.35">
      <c r="A73">
        <v>72</v>
      </c>
      <c r="B73">
        <v>31</v>
      </c>
      <c r="C73" t="s">
        <v>5</v>
      </c>
      <c r="D73" s="1">
        <v>45563</v>
      </c>
      <c r="E73" t="s">
        <v>6</v>
      </c>
      <c r="F73" t="s">
        <v>17</v>
      </c>
      <c r="G73" t="s">
        <v>15</v>
      </c>
      <c r="H73">
        <v>9</v>
      </c>
      <c r="I73">
        <v>474.92</v>
      </c>
      <c r="J73" t="s">
        <v>10</v>
      </c>
    </row>
    <row r="74" spans="1:10" x14ac:dyDescent="0.35">
      <c r="A74">
        <v>73</v>
      </c>
      <c r="B74">
        <v>48</v>
      </c>
      <c r="C74" t="s">
        <v>5</v>
      </c>
      <c r="D74" s="1">
        <v>45643</v>
      </c>
      <c r="E74" t="s">
        <v>11</v>
      </c>
      <c r="F74" t="s">
        <v>14</v>
      </c>
      <c r="G74" t="s">
        <v>13</v>
      </c>
      <c r="H74">
        <v>4</v>
      </c>
      <c r="I74">
        <v>71.89</v>
      </c>
      <c r="J74" t="s">
        <v>4</v>
      </c>
    </row>
    <row r="75" spans="1:10" x14ac:dyDescent="0.35">
      <c r="A75">
        <v>74</v>
      </c>
      <c r="B75">
        <v>49</v>
      </c>
      <c r="C75" t="s">
        <v>0</v>
      </c>
      <c r="D75" s="1">
        <v>45246</v>
      </c>
      <c r="E75" t="s">
        <v>1</v>
      </c>
      <c r="F75" t="s">
        <v>9</v>
      </c>
      <c r="G75" t="s">
        <v>3</v>
      </c>
      <c r="H75">
        <v>1</v>
      </c>
      <c r="I75">
        <v>304.20999999999998</v>
      </c>
      <c r="J75" t="s">
        <v>8</v>
      </c>
    </row>
    <row r="76" spans="1:10" x14ac:dyDescent="0.35">
      <c r="A76">
        <v>75</v>
      </c>
      <c r="B76">
        <v>39</v>
      </c>
      <c r="C76" t="s">
        <v>5</v>
      </c>
      <c r="D76" s="1">
        <v>45031</v>
      </c>
      <c r="E76" t="s">
        <v>11</v>
      </c>
      <c r="F76" t="s">
        <v>7</v>
      </c>
      <c r="G76" t="s">
        <v>3</v>
      </c>
      <c r="H76">
        <v>5</v>
      </c>
      <c r="I76">
        <v>275.72000000000003</v>
      </c>
      <c r="J76" t="s">
        <v>16</v>
      </c>
    </row>
    <row r="77" spans="1:10" x14ac:dyDescent="0.35">
      <c r="A77">
        <v>76</v>
      </c>
      <c r="B77">
        <v>83</v>
      </c>
      <c r="C77" t="s">
        <v>0</v>
      </c>
      <c r="D77" s="1">
        <v>44997</v>
      </c>
      <c r="E77" t="s">
        <v>11</v>
      </c>
      <c r="F77" t="s">
        <v>9</v>
      </c>
      <c r="G77" t="s">
        <v>3</v>
      </c>
      <c r="H77">
        <v>6</v>
      </c>
      <c r="I77">
        <v>414.72</v>
      </c>
      <c r="J77" t="s">
        <v>4</v>
      </c>
    </row>
    <row r="78" spans="1:10" x14ac:dyDescent="0.35">
      <c r="A78">
        <v>77</v>
      </c>
      <c r="B78">
        <v>82</v>
      </c>
      <c r="C78" t="s">
        <v>0</v>
      </c>
      <c r="D78" s="1">
        <v>45370</v>
      </c>
      <c r="E78" t="s">
        <v>1</v>
      </c>
      <c r="F78" t="s">
        <v>14</v>
      </c>
      <c r="G78" t="s">
        <v>20</v>
      </c>
      <c r="H78">
        <v>2</v>
      </c>
      <c r="I78">
        <v>372.22</v>
      </c>
      <c r="J78" t="s">
        <v>16</v>
      </c>
    </row>
    <row r="79" spans="1:10" x14ac:dyDescent="0.35">
      <c r="A79">
        <v>78</v>
      </c>
      <c r="B79">
        <v>62</v>
      </c>
      <c r="C79" t="s">
        <v>0</v>
      </c>
      <c r="D79" s="1">
        <v>45557</v>
      </c>
      <c r="E79" t="s">
        <v>6</v>
      </c>
      <c r="F79" t="s">
        <v>9</v>
      </c>
      <c r="G79" t="s">
        <v>3</v>
      </c>
      <c r="H79">
        <v>9</v>
      </c>
      <c r="I79">
        <v>148.83000000000001</v>
      </c>
      <c r="J79" t="s">
        <v>8</v>
      </c>
    </row>
    <row r="80" spans="1:10" x14ac:dyDescent="0.35">
      <c r="A80">
        <v>79</v>
      </c>
      <c r="B80">
        <v>58</v>
      </c>
      <c r="C80" t="s">
        <v>5</v>
      </c>
      <c r="D80" s="1">
        <v>45015</v>
      </c>
      <c r="E80" t="s">
        <v>6</v>
      </c>
      <c r="F80" t="s">
        <v>14</v>
      </c>
      <c r="G80" t="s">
        <v>3</v>
      </c>
      <c r="H80">
        <v>9</v>
      </c>
      <c r="I80">
        <v>340.73</v>
      </c>
      <c r="J80" t="s">
        <v>16</v>
      </c>
    </row>
    <row r="81" spans="1:10" x14ac:dyDescent="0.35">
      <c r="A81">
        <v>80</v>
      </c>
      <c r="B81">
        <v>42</v>
      </c>
      <c r="C81" t="s">
        <v>5</v>
      </c>
      <c r="D81" s="1">
        <v>44956</v>
      </c>
      <c r="E81" t="s">
        <v>6</v>
      </c>
      <c r="F81" t="s">
        <v>12</v>
      </c>
      <c r="G81" t="s">
        <v>13</v>
      </c>
      <c r="H81">
        <v>5</v>
      </c>
      <c r="I81">
        <v>402.96</v>
      </c>
      <c r="J81" t="s">
        <v>16</v>
      </c>
    </row>
    <row r="82" spans="1:10" x14ac:dyDescent="0.35">
      <c r="A82">
        <v>81</v>
      </c>
      <c r="B82">
        <v>36</v>
      </c>
      <c r="C82" t="s">
        <v>5</v>
      </c>
      <c r="D82" s="1">
        <v>45213</v>
      </c>
      <c r="E82" t="s">
        <v>1</v>
      </c>
      <c r="F82" t="s">
        <v>9</v>
      </c>
      <c r="G82" t="s">
        <v>3</v>
      </c>
      <c r="H82">
        <v>1</v>
      </c>
      <c r="I82">
        <v>135.85</v>
      </c>
      <c r="J82" t="s">
        <v>10</v>
      </c>
    </row>
    <row r="83" spans="1:10" x14ac:dyDescent="0.35">
      <c r="A83">
        <v>82</v>
      </c>
      <c r="B83">
        <v>31</v>
      </c>
      <c r="C83" t="s">
        <v>0</v>
      </c>
      <c r="D83" s="1">
        <v>45427</v>
      </c>
      <c r="E83" t="s">
        <v>6</v>
      </c>
      <c r="F83" t="s">
        <v>9</v>
      </c>
      <c r="G83" t="s">
        <v>3</v>
      </c>
      <c r="H83">
        <v>7</v>
      </c>
      <c r="I83">
        <v>400.61</v>
      </c>
      <c r="J83" t="s">
        <v>4</v>
      </c>
    </row>
    <row r="84" spans="1:10" x14ac:dyDescent="0.35">
      <c r="A84">
        <v>83</v>
      </c>
      <c r="B84">
        <v>52</v>
      </c>
      <c r="C84" t="s">
        <v>5</v>
      </c>
      <c r="D84" s="1">
        <v>45228</v>
      </c>
      <c r="E84" t="s">
        <v>19</v>
      </c>
      <c r="F84" t="s">
        <v>17</v>
      </c>
      <c r="G84" t="s">
        <v>3</v>
      </c>
      <c r="H84">
        <v>5</v>
      </c>
      <c r="I84">
        <v>247.17</v>
      </c>
      <c r="J84" t="s">
        <v>16</v>
      </c>
    </row>
    <row r="85" spans="1:10" x14ac:dyDescent="0.35">
      <c r="A85">
        <v>84</v>
      </c>
      <c r="B85">
        <v>71</v>
      </c>
      <c r="C85" t="s">
        <v>0</v>
      </c>
      <c r="D85" s="1">
        <v>45362</v>
      </c>
      <c r="E85" t="s">
        <v>19</v>
      </c>
      <c r="F85" t="s">
        <v>7</v>
      </c>
      <c r="G85" t="s">
        <v>3</v>
      </c>
      <c r="H85">
        <v>7</v>
      </c>
      <c r="I85">
        <v>150.04</v>
      </c>
      <c r="J85" t="s">
        <v>16</v>
      </c>
    </row>
    <row r="86" spans="1:10" x14ac:dyDescent="0.35">
      <c r="A86">
        <v>85</v>
      </c>
      <c r="B86">
        <v>25</v>
      </c>
      <c r="C86" t="s">
        <v>0</v>
      </c>
      <c r="D86" s="1">
        <v>45163</v>
      </c>
      <c r="E86" t="s">
        <v>11</v>
      </c>
      <c r="F86" t="s">
        <v>2</v>
      </c>
      <c r="G86" t="s">
        <v>3</v>
      </c>
      <c r="H86">
        <v>8</v>
      </c>
      <c r="I86">
        <v>476.42</v>
      </c>
      <c r="J86" t="s">
        <v>8</v>
      </c>
    </row>
    <row r="87" spans="1:10" x14ac:dyDescent="0.35">
      <c r="A87">
        <v>86</v>
      </c>
      <c r="B87">
        <v>62</v>
      </c>
      <c r="C87" t="s">
        <v>0</v>
      </c>
      <c r="D87" s="1">
        <v>45123</v>
      </c>
      <c r="E87" t="s">
        <v>19</v>
      </c>
      <c r="F87" t="s">
        <v>17</v>
      </c>
      <c r="G87" t="s">
        <v>15</v>
      </c>
      <c r="H87">
        <v>3</v>
      </c>
      <c r="I87">
        <v>162.19999999999999</v>
      </c>
      <c r="J87" t="s">
        <v>16</v>
      </c>
    </row>
    <row r="88" spans="1:10" x14ac:dyDescent="0.35">
      <c r="A88">
        <v>87</v>
      </c>
      <c r="B88">
        <v>2</v>
      </c>
      <c r="C88" t="s">
        <v>5</v>
      </c>
      <c r="D88" s="1">
        <v>45110</v>
      </c>
      <c r="E88" t="s">
        <v>19</v>
      </c>
      <c r="F88" t="s">
        <v>14</v>
      </c>
      <c r="G88" t="s">
        <v>15</v>
      </c>
      <c r="H88">
        <v>0</v>
      </c>
      <c r="I88">
        <v>285.61</v>
      </c>
      <c r="J88" t="s">
        <v>8</v>
      </c>
    </row>
    <row r="89" spans="1:10" x14ac:dyDescent="0.35">
      <c r="A89">
        <v>88</v>
      </c>
      <c r="B89">
        <v>14</v>
      </c>
      <c r="C89" t="s">
        <v>5</v>
      </c>
      <c r="D89" s="1">
        <v>45580</v>
      </c>
      <c r="E89" t="s">
        <v>19</v>
      </c>
      <c r="F89" t="s">
        <v>12</v>
      </c>
      <c r="G89" t="s">
        <v>20</v>
      </c>
      <c r="H89">
        <v>7</v>
      </c>
      <c r="I89">
        <v>231.43</v>
      </c>
      <c r="J89" t="s">
        <v>8</v>
      </c>
    </row>
    <row r="90" spans="1:10" x14ac:dyDescent="0.35">
      <c r="A90">
        <v>89</v>
      </c>
      <c r="B90">
        <v>62</v>
      </c>
      <c r="C90" t="s">
        <v>5</v>
      </c>
      <c r="D90" s="1">
        <v>44979</v>
      </c>
      <c r="E90" t="s">
        <v>11</v>
      </c>
      <c r="F90" t="s">
        <v>14</v>
      </c>
      <c r="G90" t="s">
        <v>20</v>
      </c>
      <c r="H90">
        <v>7</v>
      </c>
      <c r="I90">
        <v>55.56</v>
      </c>
      <c r="J90" t="s">
        <v>4</v>
      </c>
    </row>
    <row r="91" spans="1:10" x14ac:dyDescent="0.35">
      <c r="A91">
        <v>90</v>
      </c>
      <c r="B91">
        <v>73</v>
      </c>
      <c r="C91" t="s">
        <v>0</v>
      </c>
      <c r="D91" s="1">
        <v>45082</v>
      </c>
      <c r="E91" t="s">
        <v>11</v>
      </c>
      <c r="F91" t="s">
        <v>17</v>
      </c>
      <c r="G91" t="s">
        <v>13</v>
      </c>
      <c r="H91">
        <v>1</v>
      </c>
      <c r="I91">
        <v>287.88</v>
      </c>
      <c r="J91" t="s">
        <v>10</v>
      </c>
    </row>
    <row r="92" spans="1:10" x14ac:dyDescent="0.35">
      <c r="A92">
        <v>91</v>
      </c>
      <c r="B92">
        <v>80</v>
      </c>
      <c r="C92" t="s">
        <v>5</v>
      </c>
      <c r="D92" s="1">
        <v>45547</v>
      </c>
      <c r="E92" t="s">
        <v>6</v>
      </c>
      <c r="F92" t="s">
        <v>9</v>
      </c>
      <c r="G92" t="s">
        <v>3</v>
      </c>
      <c r="H92">
        <v>7</v>
      </c>
      <c r="I92">
        <v>456.08</v>
      </c>
      <c r="J92" t="s">
        <v>16</v>
      </c>
    </row>
    <row r="93" spans="1:10" x14ac:dyDescent="0.35">
      <c r="A93">
        <v>92</v>
      </c>
      <c r="B93">
        <v>40</v>
      </c>
      <c r="C93" t="s">
        <v>5</v>
      </c>
      <c r="D93" s="1">
        <v>45529</v>
      </c>
      <c r="E93" t="s">
        <v>11</v>
      </c>
      <c r="F93" t="s">
        <v>12</v>
      </c>
      <c r="G93" t="s">
        <v>13</v>
      </c>
      <c r="H93">
        <v>10</v>
      </c>
      <c r="I93">
        <v>121.29</v>
      </c>
      <c r="J93" t="s">
        <v>4</v>
      </c>
    </row>
    <row r="94" spans="1:10" x14ac:dyDescent="0.35">
      <c r="A94">
        <v>93</v>
      </c>
      <c r="B94">
        <v>23</v>
      </c>
      <c r="C94" t="s">
        <v>5</v>
      </c>
      <c r="D94" s="1">
        <v>45087</v>
      </c>
      <c r="E94" t="s">
        <v>1</v>
      </c>
      <c r="F94" t="s">
        <v>17</v>
      </c>
      <c r="G94" t="s">
        <v>15</v>
      </c>
      <c r="H94">
        <v>6</v>
      </c>
      <c r="I94">
        <v>236.24</v>
      </c>
      <c r="J94" t="s">
        <v>10</v>
      </c>
    </row>
    <row r="95" spans="1:10" x14ac:dyDescent="0.35">
      <c r="A95">
        <v>94</v>
      </c>
      <c r="B95">
        <v>30</v>
      </c>
      <c r="C95" t="s">
        <v>0</v>
      </c>
      <c r="D95" s="1">
        <v>45225</v>
      </c>
      <c r="E95" t="s">
        <v>19</v>
      </c>
      <c r="F95" t="s">
        <v>2</v>
      </c>
      <c r="G95" t="s">
        <v>3</v>
      </c>
      <c r="H95">
        <v>7</v>
      </c>
      <c r="I95">
        <v>54.17</v>
      </c>
      <c r="J95" t="s">
        <v>8</v>
      </c>
    </row>
    <row r="96" spans="1:10" x14ac:dyDescent="0.35">
      <c r="A96">
        <v>95</v>
      </c>
      <c r="B96">
        <v>76</v>
      </c>
      <c r="C96" t="s">
        <v>5</v>
      </c>
      <c r="D96" s="1">
        <v>45197</v>
      </c>
      <c r="E96" t="s">
        <v>6</v>
      </c>
      <c r="F96" t="s">
        <v>7</v>
      </c>
      <c r="G96" t="s">
        <v>3</v>
      </c>
      <c r="H96">
        <v>1</v>
      </c>
      <c r="I96">
        <v>281.39</v>
      </c>
      <c r="J96" t="s">
        <v>8</v>
      </c>
    </row>
    <row r="97" spans="1:10" x14ac:dyDescent="0.35">
      <c r="A97">
        <v>96</v>
      </c>
      <c r="B97">
        <v>10</v>
      </c>
      <c r="C97" t="s">
        <v>5</v>
      </c>
      <c r="D97" s="1">
        <v>45199</v>
      </c>
      <c r="E97" t="s">
        <v>1</v>
      </c>
      <c r="F97" t="s">
        <v>17</v>
      </c>
      <c r="G97" t="s">
        <v>18</v>
      </c>
      <c r="H97">
        <v>9</v>
      </c>
      <c r="I97">
        <v>379.5</v>
      </c>
      <c r="J97" t="s">
        <v>16</v>
      </c>
    </row>
    <row r="98" spans="1:10" x14ac:dyDescent="0.35">
      <c r="A98">
        <v>97</v>
      </c>
      <c r="B98">
        <v>60</v>
      </c>
      <c r="C98" t="s">
        <v>0</v>
      </c>
      <c r="D98" s="1">
        <v>45376</v>
      </c>
      <c r="E98" t="s">
        <v>6</v>
      </c>
      <c r="F98" t="s">
        <v>2</v>
      </c>
      <c r="G98" t="s">
        <v>3</v>
      </c>
      <c r="H98">
        <v>4</v>
      </c>
      <c r="I98">
        <v>260.23</v>
      </c>
      <c r="J98" t="s">
        <v>10</v>
      </c>
    </row>
    <row r="99" spans="1:10" x14ac:dyDescent="0.35">
      <c r="A99">
        <v>98</v>
      </c>
      <c r="B99">
        <v>77</v>
      </c>
      <c r="C99" t="s">
        <v>5</v>
      </c>
      <c r="D99" s="1">
        <v>45375</v>
      </c>
      <c r="E99" t="s">
        <v>6</v>
      </c>
      <c r="F99" t="s">
        <v>2</v>
      </c>
      <c r="G99" t="s">
        <v>3</v>
      </c>
      <c r="H99">
        <v>5</v>
      </c>
      <c r="I99">
        <v>309.77999999999997</v>
      </c>
      <c r="J99" t="s">
        <v>4</v>
      </c>
    </row>
    <row r="100" spans="1:10" x14ac:dyDescent="0.35">
      <c r="A100">
        <v>99</v>
      </c>
      <c r="B100">
        <v>74</v>
      </c>
      <c r="C100" t="s">
        <v>5</v>
      </c>
      <c r="D100" s="1">
        <v>45020</v>
      </c>
      <c r="E100" t="s">
        <v>19</v>
      </c>
      <c r="F100" t="s">
        <v>17</v>
      </c>
      <c r="G100" t="s">
        <v>3</v>
      </c>
      <c r="H100">
        <v>0</v>
      </c>
      <c r="I100">
        <v>386.29</v>
      </c>
      <c r="J100" t="s">
        <v>8</v>
      </c>
    </row>
    <row r="101" spans="1:10" x14ac:dyDescent="0.35">
      <c r="A101">
        <v>100</v>
      </c>
      <c r="B101">
        <v>84</v>
      </c>
      <c r="C101" t="s">
        <v>0</v>
      </c>
      <c r="D101" s="1">
        <v>45408</v>
      </c>
      <c r="E101" t="s">
        <v>19</v>
      </c>
      <c r="F101" t="s">
        <v>9</v>
      </c>
      <c r="G101" t="s">
        <v>3</v>
      </c>
      <c r="H101">
        <v>2</v>
      </c>
      <c r="I101">
        <v>498.53</v>
      </c>
      <c r="J101" t="s">
        <v>10</v>
      </c>
    </row>
    <row r="102" spans="1:10" x14ac:dyDescent="0.35">
      <c r="A102">
        <v>101</v>
      </c>
      <c r="B102">
        <v>12</v>
      </c>
      <c r="C102" t="s">
        <v>0</v>
      </c>
      <c r="D102" s="1">
        <v>45577</v>
      </c>
      <c r="E102" t="s">
        <v>19</v>
      </c>
      <c r="F102" t="s">
        <v>12</v>
      </c>
      <c r="G102" t="s">
        <v>20</v>
      </c>
      <c r="H102">
        <v>5</v>
      </c>
      <c r="I102">
        <v>174.11</v>
      </c>
      <c r="J102" t="s">
        <v>4</v>
      </c>
    </row>
    <row r="103" spans="1:10" x14ac:dyDescent="0.35">
      <c r="A103">
        <v>102</v>
      </c>
      <c r="B103">
        <v>53</v>
      </c>
      <c r="C103" t="s">
        <v>0</v>
      </c>
      <c r="D103" s="1">
        <v>45091</v>
      </c>
      <c r="E103" t="s">
        <v>19</v>
      </c>
      <c r="F103" t="s">
        <v>14</v>
      </c>
      <c r="G103" t="s">
        <v>20</v>
      </c>
      <c r="H103">
        <v>8</v>
      </c>
      <c r="I103">
        <v>37.61</v>
      </c>
      <c r="J103" t="s">
        <v>4</v>
      </c>
    </row>
    <row r="104" spans="1:10" x14ac:dyDescent="0.35">
      <c r="A104">
        <v>103</v>
      </c>
      <c r="B104">
        <v>42</v>
      </c>
      <c r="C104" t="s">
        <v>5</v>
      </c>
      <c r="D104" s="1">
        <v>45249</v>
      </c>
      <c r="E104" t="s">
        <v>6</v>
      </c>
      <c r="F104" t="s">
        <v>14</v>
      </c>
      <c r="G104" t="s">
        <v>3</v>
      </c>
      <c r="H104">
        <v>0</v>
      </c>
      <c r="I104">
        <v>335.68</v>
      </c>
      <c r="J104" t="s">
        <v>10</v>
      </c>
    </row>
    <row r="105" spans="1:10" x14ac:dyDescent="0.35">
      <c r="A105">
        <v>104</v>
      </c>
      <c r="B105">
        <v>25</v>
      </c>
      <c r="C105" t="s">
        <v>0</v>
      </c>
      <c r="D105" s="1">
        <v>45350</v>
      </c>
      <c r="E105" t="s">
        <v>6</v>
      </c>
      <c r="F105" t="s">
        <v>2</v>
      </c>
      <c r="G105" t="s">
        <v>3</v>
      </c>
      <c r="H105">
        <v>10</v>
      </c>
      <c r="I105">
        <v>232.18</v>
      </c>
      <c r="J105" t="s">
        <v>4</v>
      </c>
    </row>
    <row r="106" spans="1:10" x14ac:dyDescent="0.35">
      <c r="A106">
        <v>105</v>
      </c>
      <c r="B106">
        <v>71</v>
      </c>
      <c r="C106" t="s">
        <v>5</v>
      </c>
      <c r="D106" s="1">
        <v>45135</v>
      </c>
      <c r="E106" t="s">
        <v>19</v>
      </c>
      <c r="F106" t="s">
        <v>14</v>
      </c>
      <c r="G106" t="s">
        <v>20</v>
      </c>
      <c r="H106">
        <v>7</v>
      </c>
      <c r="I106">
        <v>78.28</v>
      </c>
      <c r="J106" t="s">
        <v>8</v>
      </c>
    </row>
    <row r="107" spans="1:10" x14ac:dyDescent="0.35">
      <c r="A107">
        <v>106</v>
      </c>
      <c r="B107">
        <v>40</v>
      </c>
      <c r="C107" t="s">
        <v>5</v>
      </c>
      <c r="D107" s="1">
        <v>45653</v>
      </c>
      <c r="E107" t="s">
        <v>6</v>
      </c>
      <c r="F107" t="s">
        <v>17</v>
      </c>
      <c r="G107" t="s">
        <v>15</v>
      </c>
      <c r="H107">
        <v>3</v>
      </c>
      <c r="I107">
        <v>496.28</v>
      </c>
      <c r="J107" t="s">
        <v>4</v>
      </c>
    </row>
    <row r="108" spans="1:10" x14ac:dyDescent="0.35">
      <c r="A108">
        <v>107</v>
      </c>
      <c r="B108">
        <v>83</v>
      </c>
      <c r="C108" t="s">
        <v>5</v>
      </c>
      <c r="D108" s="1">
        <v>45399</v>
      </c>
      <c r="E108" t="s">
        <v>6</v>
      </c>
      <c r="F108" t="s">
        <v>2</v>
      </c>
      <c r="G108" t="s">
        <v>3</v>
      </c>
      <c r="H108">
        <v>4</v>
      </c>
      <c r="I108">
        <v>264.26</v>
      </c>
      <c r="J108" t="s">
        <v>16</v>
      </c>
    </row>
    <row r="109" spans="1:10" x14ac:dyDescent="0.35">
      <c r="A109">
        <v>108</v>
      </c>
      <c r="B109">
        <v>61</v>
      </c>
      <c r="C109" t="s">
        <v>5</v>
      </c>
      <c r="D109" s="1">
        <v>45352</v>
      </c>
      <c r="E109" t="s">
        <v>6</v>
      </c>
      <c r="F109" t="s">
        <v>12</v>
      </c>
      <c r="G109" t="s">
        <v>3</v>
      </c>
      <c r="H109">
        <v>2</v>
      </c>
      <c r="I109">
        <v>204.12</v>
      </c>
      <c r="J109" t="s">
        <v>8</v>
      </c>
    </row>
    <row r="110" spans="1:10" x14ac:dyDescent="0.35">
      <c r="A110">
        <v>109</v>
      </c>
      <c r="B110">
        <v>54</v>
      </c>
      <c r="C110" t="s">
        <v>0</v>
      </c>
      <c r="D110" s="1">
        <v>44998</v>
      </c>
      <c r="E110" t="s">
        <v>19</v>
      </c>
      <c r="F110" t="s">
        <v>14</v>
      </c>
      <c r="G110" t="s">
        <v>15</v>
      </c>
      <c r="H110">
        <v>4</v>
      </c>
      <c r="I110">
        <v>368.5</v>
      </c>
      <c r="J110" t="s">
        <v>10</v>
      </c>
    </row>
    <row r="111" spans="1:10" x14ac:dyDescent="0.35">
      <c r="A111">
        <v>110</v>
      </c>
      <c r="B111">
        <v>69</v>
      </c>
      <c r="C111" t="s">
        <v>0</v>
      </c>
      <c r="D111" s="1">
        <v>45079</v>
      </c>
      <c r="E111" t="s">
        <v>19</v>
      </c>
      <c r="F111" t="s">
        <v>12</v>
      </c>
      <c r="G111" t="s">
        <v>18</v>
      </c>
      <c r="H111">
        <v>8</v>
      </c>
      <c r="I111">
        <v>386.18</v>
      </c>
      <c r="J111" t="s">
        <v>10</v>
      </c>
    </row>
    <row r="112" spans="1:10" x14ac:dyDescent="0.35">
      <c r="A112">
        <v>111</v>
      </c>
      <c r="B112">
        <v>25</v>
      </c>
      <c r="C112" t="s">
        <v>5</v>
      </c>
      <c r="D112" s="1">
        <v>45393</v>
      </c>
      <c r="E112" t="s">
        <v>6</v>
      </c>
      <c r="F112" t="s">
        <v>14</v>
      </c>
      <c r="G112" t="s">
        <v>13</v>
      </c>
      <c r="H112">
        <v>6</v>
      </c>
      <c r="I112">
        <v>40.950000000000003</v>
      </c>
      <c r="J112" t="s">
        <v>10</v>
      </c>
    </row>
    <row r="113" spans="1:10" x14ac:dyDescent="0.35">
      <c r="A113">
        <v>112</v>
      </c>
      <c r="B113">
        <v>50</v>
      </c>
      <c r="C113" t="s">
        <v>5</v>
      </c>
      <c r="D113" s="1">
        <v>45649</v>
      </c>
      <c r="E113" t="s">
        <v>6</v>
      </c>
      <c r="F113" t="s">
        <v>12</v>
      </c>
      <c r="G113" t="s">
        <v>15</v>
      </c>
      <c r="H113">
        <v>2</v>
      </c>
      <c r="I113">
        <v>261.10000000000002</v>
      </c>
      <c r="J113" t="s">
        <v>16</v>
      </c>
    </row>
    <row r="114" spans="1:10" x14ac:dyDescent="0.35">
      <c r="A114">
        <v>113</v>
      </c>
      <c r="B114">
        <v>13</v>
      </c>
      <c r="C114" t="s">
        <v>0</v>
      </c>
      <c r="D114" s="1">
        <v>45029</v>
      </c>
      <c r="E114" t="s">
        <v>11</v>
      </c>
      <c r="F114" t="s">
        <v>12</v>
      </c>
      <c r="G114" t="s">
        <v>13</v>
      </c>
      <c r="H114">
        <v>6</v>
      </c>
      <c r="I114">
        <v>438.05</v>
      </c>
      <c r="J114" t="s">
        <v>8</v>
      </c>
    </row>
    <row r="115" spans="1:10" x14ac:dyDescent="0.35">
      <c r="A115">
        <v>114</v>
      </c>
      <c r="B115">
        <v>34</v>
      </c>
      <c r="C115" t="s">
        <v>0</v>
      </c>
      <c r="D115" s="1">
        <v>45003</v>
      </c>
      <c r="E115" t="s">
        <v>6</v>
      </c>
      <c r="F115" t="s">
        <v>12</v>
      </c>
      <c r="G115" t="s">
        <v>15</v>
      </c>
      <c r="H115">
        <v>5</v>
      </c>
      <c r="I115">
        <v>429.12</v>
      </c>
      <c r="J115" t="s">
        <v>10</v>
      </c>
    </row>
    <row r="116" spans="1:10" x14ac:dyDescent="0.35">
      <c r="A116">
        <v>115</v>
      </c>
      <c r="B116">
        <v>63</v>
      </c>
      <c r="C116" t="s">
        <v>5</v>
      </c>
      <c r="D116" s="1">
        <v>45251</v>
      </c>
      <c r="E116" t="s">
        <v>11</v>
      </c>
      <c r="F116" t="s">
        <v>7</v>
      </c>
      <c r="G116" t="s">
        <v>3</v>
      </c>
      <c r="H116">
        <v>3</v>
      </c>
      <c r="I116">
        <v>322.95999999999998</v>
      </c>
      <c r="J116" t="s">
        <v>16</v>
      </c>
    </row>
    <row r="117" spans="1:10" x14ac:dyDescent="0.35">
      <c r="A117">
        <v>116</v>
      </c>
      <c r="B117">
        <v>12</v>
      </c>
      <c r="C117" t="s">
        <v>0</v>
      </c>
      <c r="D117" s="1">
        <v>45159</v>
      </c>
      <c r="E117" t="s">
        <v>11</v>
      </c>
      <c r="F117" t="s">
        <v>7</v>
      </c>
      <c r="G117" t="s">
        <v>3</v>
      </c>
      <c r="H117">
        <v>10</v>
      </c>
      <c r="I117">
        <v>357.87</v>
      </c>
      <c r="J117" t="s">
        <v>4</v>
      </c>
    </row>
    <row r="118" spans="1:10" x14ac:dyDescent="0.35">
      <c r="A118">
        <v>117</v>
      </c>
      <c r="B118">
        <v>39</v>
      </c>
      <c r="C118" t="s">
        <v>5</v>
      </c>
      <c r="D118" s="1">
        <v>45381</v>
      </c>
      <c r="E118" t="s">
        <v>11</v>
      </c>
      <c r="F118" t="s">
        <v>17</v>
      </c>
      <c r="G118" t="s">
        <v>18</v>
      </c>
      <c r="H118">
        <v>0</v>
      </c>
      <c r="I118">
        <v>160.82</v>
      </c>
      <c r="J118" t="s">
        <v>16</v>
      </c>
    </row>
    <row r="119" spans="1:10" x14ac:dyDescent="0.35">
      <c r="A119">
        <v>118</v>
      </c>
      <c r="B119">
        <v>32</v>
      </c>
      <c r="C119" t="s">
        <v>0</v>
      </c>
      <c r="D119" s="1">
        <v>45368</v>
      </c>
      <c r="E119" t="s">
        <v>1</v>
      </c>
      <c r="F119" t="s">
        <v>17</v>
      </c>
      <c r="G119" t="s">
        <v>13</v>
      </c>
      <c r="H119">
        <v>2</v>
      </c>
      <c r="I119">
        <v>57.9</v>
      </c>
      <c r="J119" t="s">
        <v>10</v>
      </c>
    </row>
    <row r="120" spans="1:10" x14ac:dyDescent="0.35">
      <c r="A120">
        <v>119</v>
      </c>
      <c r="B120">
        <v>31</v>
      </c>
      <c r="C120" t="s">
        <v>0</v>
      </c>
      <c r="D120" s="1">
        <v>45561</v>
      </c>
      <c r="E120" t="s">
        <v>1</v>
      </c>
      <c r="F120" t="s">
        <v>7</v>
      </c>
      <c r="G120" t="s">
        <v>3</v>
      </c>
      <c r="H120">
        <v>3</v>
      </c>
      <c r="I120">
        <v>241.35</v>
      </c>
      <c r="J120" t="s">
        <v>16</v>
      </c>
    </row>
    <row r="121" spans="1:10" x14ac:dyDescent="0.35">
      <c r="A121">
        <v>120</v>
      </c>
      <c r="B121">
        <v>2</v>
      </c>
      <c r="C121" t="s">
        <v>0</v>
      </c>
      <c r="D121" s="1">
        <v>45397</v>
      </c>
      <c r="E121" t="s">
        <v>19</v>
      </c>
      <c r="F121" t="s">
        <v>14</v>
      </c>
      <c r="G121" t="s">
        <v>3</v>
      </c>
      <c r="H121">
        <v>2</v>
      </c>
      <c r="I121">
        <v>55.45</v>
      </c>
      <c r="J121" t="s">
        <v>16</v>
      </c>
    </row>
    <row r="122" spans="1:10" x14ac:dyDescent="0.35">
      <c r="A122">
        <v>121</v>
      </c>
      <c r="B122">
        <v>82</v>
      </c>
      <c r="C122" t="s">
        <v>0</v>
      </c>
      <c r="D122" s="1">
        <v>45528</v>
      </c>
      <c r="E122" t="s">
        <v>19</v>
      </c>
      <c r="F122" t="s">
        <v>14</v>
      </c>
      <c r="G122" t="s">
        <v>20</v>
      </c>
      <c r="H122">
        <v>4</v>
      </c>
      <c r="I122">
        <v>115.62</v>
      </c>
      <c r="J122" t="s">
        <v>10</v>
      </c>
    </row>
    <row r="123" spans="1:10" x14ac:dyDescent="0.35">
      <c r="A123">
        <v>122</v>
      </c>
      <c r="B123">
        <v>31</v>
      </c>
      <c r="C123" t="s">
        <v>0</v>
      </c>
      <c r="D123" s="1">
        <v>45421</v>
      </c>
      <c r="E123" t="s">
        <v>19</v>
      </c>
      <c r="F123" t="s">
        <v>2</v>
      </c>
      <c r="G123" t="s">
        <v>3</v>
      </c>
      <c r="H123">
        <v>9</v>
      </c>
      <c r="I123">
        <v>162.02000000000001</v>
      </c>
      <c r="J123" t="s">
        <v>16</v>
      </c>
    </row>
    <row r="124" spans="1:10" x14ac:dyDescent="0.35">
      <c r="A124">
        <v>123</v>
      </c>
      <c r="B124">
        <v>51</v>
      </c>
      <c r="C124" t="s">
        <v>0</v>
      </c>
      <c r="D124" s="1">
        <v>44949</v>
      </c>
      <c r="E124" t="s">
        <v>11</v>
      </c>
      <c r="F124" t="s">
        <v>7</v>
      </c>
      <c r="G124" t="s">
        <v>3</v>
      </c>
      <c r="H124">
        <v>9</v>
      </c>
      <c r="I124">
        <v>435.23</v>
      </c>
      <c r="J124" t="s">
        <v>4</v>
      </c>
    </row>
    <row r="125" spans="1:10" x14ac:dyDescent="0.35">
      <c r="A125">
        <v>124</v>
      </c>
      <c r="B125">
        <v>64</v>
      </c>
      <c r="C125" t="s">
        <v>0</v>
      </c>
      <c r="D125" s="1">
        <v>45547</v>
      </c>
      <c r="E125" t="s">
        <v>1</v>
      </c>
      <c r="F125" t="s">
        <v>7</v>
      </c>
      <c r="G125" t="s">
        <v>3</v>
      </c>
      <c r="H125">
        <v>9</v>
      </c>
      <c r="I125">
        <v>404.93</v>
      </c>
      <c r="J125" t="s">
        <v>8</v>
      </c>
    </row>
    <row r="126" spans="1:10" x14ac:dyDescent="0.35">
      <c r="A126">
        <v>125</v>
      </c>
      <c r="B126">
        <v>80</v>
      </c>
      <c r="C126" t="s">
        <v>0</v>
      </c>
      <c r="D126" s="1">
        <v>45578</v>
      </c>
      <c r="E126" t="s">
        <v>1</v>
      </c>
      <c r="F126" t="s">
        <v>17</v>
      </c>
      <c r="G126" t="s">
        <v>15</v>
      </c>
      <c r="H126">
        <v>10</v>
      </c>
      <c r="I126">
        <v>330.24</v>
      </c>
      <c r="J126" t="s">
        <v>16</v>
      </c>
    </row>
    <row r="127" spans="1:10" x14ac:dyDescent="0.35">
      <c r="A127">
        <v>126</v>
      </c>
      <c r="B127">
        <v>75</v>
      </c>
      <c r="C127" t="s">
        <v>0</v>
      </c>
      <c r="D127" s="1">
        <v>45378</v>
      </c>
      <c r="E127" t="s">
        <v>1</v>
      </c>
      <c r="F127" t="s">
        <v>2</v>
      </c>
      <c r="G127" t="s">
        <v>3</v>
      </c>
      <c r="H127">
        <v>1</v>
      </c>
      <c r="I127">
        <v>456.62</v>
      </c>
      <c r="J127" t="s">
        <v>16</v>
      </c>
    </row>
    <row r="128" spans="1:10" x14ac:dyDescent="0.35">
      <c r="A128">
        <v>127</v>
      </c>
      <c r="B128">
        <v>26</v>
      </c>
      <c r="C128" t="s">
        <v>5</v>
      </c>
      <c r="D128" s="1">
        <v>45352</v>
      </c>
      <c r="E128" t="s">
        <v>19</v>
      </c>
      <c r="F128" t="s">
        <v>17</v>
      </c>
      <c r="G128" t="s">
        <v>3</v>
      </c>
      <c r="H128">
        <v>8</v>
      </c>
      <c r="I128">
        <v>458.47</v>
      </c>
      <c r="J128" t="s">
        <v>8</v>
      </c>
    </row>
    <row r="129" spans="1:10" x14ac:dyDescent="0.35">
      <c r="A129">
        <v>128</v>
      </c>
      <c r="B129">
        <v>38</v>
      </c>
      <c r="C129" t="s">
        <v>0</v>
      </c>
      <c r="D129" s="1">
        <v>45190</v>
      </c>
      <c r="E129" t="s">
        <v>11</v>
      </c>
      <c r="F129" t="s">
        <v>12</v>
      </c>
      <c r="G129" t="s">
        <v>20</v>
      </c>
      <c r="H129">
        <v>1</v>
      </c>
      <c r="I129">
        <v>87.56</v>
      </c>
      <c r="J129" t="s">
        <v>8</v>
      </c>
    </row>
    <row r="130" spans="1:10" x14ac:dyDescent="0.35">
      <c r="A130">
        <v>129</v>
      </c>
      <c r="B130">
        <v>51</v>
      </c>
      <c r="C130" t="s">
        <v>0</v>
      </c>
      <c r="D130" s="1">
        <v>45619</v>
      </c>
      <c r="E130" t="s">
        <v>11</v>
      </c>
      <c r="F130" t="s">
        <v>7</v>
      </c>
      <c r="G130" t="s">
        <v>3</v>
      </c>
      <c r="H130">
        <v>6</v>
      </c>
      <c r="I130">
        <v>26.68</v>
      </c>
      <c r="J130" t="s">
        <v>4</v>
      </c>
    </row>
    <row r="131" spans="1:10" x14ac:dyDescent="0.35">
      <c r="A131">
        <v>130</v>
      </c>
      <c r="B131">
        <v>34</v>
      </c>
      <c r="C131" t="s">
        <v>0</v>
      </c>
      <c r="D131" s="1">
        <v>45392</v>
      </c>
      <c r="E131" t="s">
        <v>19</v>
      </c>
      <c r="F131" t="s">
        <v>14</v>
      </c>
      <c r="G131" t="s">
        <v>15</v>
      </c>
      <c r="H131">
        <v>10</v>
      </c>
      <c r="I131">
        <v>132.22999999999999</v>
      </c>
      <c r="J131" t="s">
        <v>4</v>
      </c>
    </row>
    <row r="132" spans="1:10" x14ac:dyDescent="0.35">
      <c r="A132">
        <v>131</v>
      </c>
      <c r="B132">
        <v>42</v>
      </c>
      <c r="C132" t="s">
        <v>5</v>
      </c>
      <c r="D132" s="1">
        <v>45561</v>
      </c>
      <c r="E132" t="s">
        <v>11</v>
      </c>
      <c r="F132" t="s">
        <v>9</v>
      </c>
      <c r="G132" t="s">
        <v>3</v>
      </c>
      <c r="H132">
        <v>10</v>
      </c>
      <c r="I132">
        <v>415.45</v>
      </c>
      <c r="J132" t="s">
        <v>16</v>
      </c>
    </row>
    <row r="133" spans="1:10" x14ac:dyDescent="0.35">
      <c r="A133">
        <v>132</v>
      </c>
      <c r="B133">
        <v>15</v>
      </c>
      <c r="C133" t="s">
        <v>5</v>
      </c>
      <c r="D133" s="1">
        <v>45591</v>
      </c>
      <c r="E133" t="s">
        <v>11</v>
      </c>
      <c r="F133" t="s">
        <v>12</v>
      </c>
      <c r="G133" t="s">
        <v>15</v>
      </c>
      <c r="H133">
        <v>4</v>
      </c>
      <c r="I133">
        <v>498.05</v>
      </c>
      <c r="J133" t="s">
        <v>4</v>
      </c>
    </row>
    <row r="134" spans="1:10" x14ac:dyDescent="0.35">
      <c r="A134">
        <v>133</v>
      </c>
      <c r="B134">
        <v>69</v>
      </c>
      <c r="C134" t="s">
        <v>5</v>
      </c>
      <c r="D134" s="1">
        <v>45026</v>
      </c>
      <c r="E134" t="s">
        <v>6</v>
      </c>
      <c r="F134" t="s">
        <v>17</v>
      </c>
      <c r="G134" t="s">
        <v>20</v>
      </c>
      <c r="H134">
        <v>5</v>
      </c>
      <c r="I134">
        <v>341.83</v>
      </c>
      <c r="J134" t="s">
        <v>10</v>
      </c>
    </row>
    <row r="135" spans="1:10" x14ac:dyDescent="0.35">
      <c r="A135">
        <v>134</v>
      </c>
      <c r="B135">
        <v>20</v>
      </c>
      <c r="C135" t="s">
        <v>0</v>
      </c>
      <c r="D135" s="1">
        <v>45528</v>
      </c>
      <c r="E135" t="s">
        <v>11</v>
      </c>
      <c r="F135" t="s">
        <v>7</v>
      </c>
      <c r="G135" t="s">
        <v>3</v>
      </c>
      <c r="H135">
        <v>7</v>
      </c>
      <c r="I135">
        <v>315.51</v>
      </c>
      <c r="J135" t="s">
        <v>16</v>
      </c>
    </row>
    <row r="136" spans="1:10" x14ac:dyDescent="0.35">
      <c r="A136">
        <v>135</v>
      </c>
      <c r="B136">
        <v>48</v>
      </c>
      <c r="C136" t="s">
        <v>5</v>
      </c>
      <c r="D136" s="1">
        <v>44960</v>
      </c>
      <c r="E136" t="s">
        <v>6</v>
      </c>
      <c r="F136" t="s">
        <v>7</v>
      </c>
      <c r="G136" t="s">
        <v>3</v>
      </c>
      <c r="H136">
        <v>7</v>
      </c>
      <c r="I136">
        <v>476.27</v>
      </c>
      <c r="J136" t="s">
        <v>16</v>
      </c>
    </row>
    <row r="137" spans="1:10" x14ac:dyDescent="0.35">
      <c r="A137">
        <v>136</v>
      </c>
      <c r="B137">
        <v>48</v>
      </c>
      <c r="C137" t="s">
        <v>0</v>
      </c>
      <c r="D137" s="1">
        <v>45028</v>
      </c>
      <c r="E137" t="s">
        <v>11</v>
      </c>
      <c r="F137" t="s">
        <v>7</v>
      </c>
      <c r="G137" t="s">
        <v>3</v>
      </c>
      <c r="H137">
        <v>6</v>
      </c>
      <c r="I137">
        <v>152.41999999999999</v>
      </c>
      <c r="J137" t="s">
        <v>4</v>
      </c>
    </row>
    <row r="138" spans="1:10" x14ac:dyDescent="0.35">
      <c r="A138">
        <v>137</v>
      </c>
      <c r="B138">
        <v>85</v>
      </c>
      <c r="C138" t="s">
        <v>5</v>
      </c>
      <c r="D138" s="1">
        <v>45392</v>
      </c>
      <c r="E138" t="s">
        <v>11</v>
      </c>
      <c r="F138" t="s">
        <v>2</v>
      </c>
      <c r="G138" t="s">
        <v>3</v>
      </c>
      <c r="H138">
        <v>0</v>
      </c>
      <c r="I138">
        <v>397.66</v>
      </c>
      <c r="J138" t="s">
        <v>8</v>
      </c>
    </row>
    <row r="139" spans="1:10" x14ac:dyDescent="0.35">
      <c r="A139">
        <v>138</v>
      </c>
      <c r="B139">
        <v>27</v>
      </c>
      <c r="C139" t="s">
        <v>5</v>
      </c>
      <c r="D139" s="1">
        <v>45055</v>
      </c>
      <c r="E139" t="s">
        <v>1</v>
      </c>
      <c r="F139" t="s">
        <v>9</v>
      </c>
      <c r="G139" t="s">
        <v>3</v>
      </c>
      <c r="H139">
        <v>9</v>
      </c>
      <c r="I139">
        <v>123.66</v>
      </c>
      <c r="J139" t="s">
        <v>8</v>
      </c>
    </row>
    <row r="140" spans="1:10" x14ac:dyDescent="0.35">
      <c r="A140">
        <v>139</v>
      </c>
      <c r="B140">
        <v>77</v>
      </c>
      <c r="C140" t="s">
        <v>5</v>
      </c>
      <c r="D140" s="1">
        <v>45263</v>
      </c>
      <c r="E140" t="s">
        <v>19</v>
      </c>
      <c r="F140" t="s">
        <v>17</v>
      </c>
      <c r="G140" t="s">
        <v>13</v>
      </c>
      <c r="H140">
        <v>2</v>
      </c>
      <c r="I140">
        <v>279.3</v>
      </c>
      <c r="J140" t="s">
        <v>8</v>
      </c>
    </row>
    <row r="141" spans="1:10" x14ac:dyDescent="0.35">
      <c r="A141">
        <v>140</v>
      </c>
      <c r="B141">
        <v>4</v>
      </c>
      <c r="C141" t="s">
        <v>5</v>
      </c>
      <c r="D141" s="1">
        <v>45039</v>
      </c>
      <c r="E141" t="s">
        <v>11</v>
      </c>
      <c r="F141" t="s">
        <v>7</v>
      </c>
      <c r="G141" t="s">
        <v>3</v>
      </c>
      <c r="H141">
        <v>5</v>
      </c>
      <c r="I141">
        <v>399.19</v>
      </c>
      <c r="J141" t="s">
        <v>8</v>
      </c>
    </row>
    <row r="142" spans="1:10" x14ac:dyDescent="0.35">
      <c r="A142">
        <v>141</v>
      </c>
      <c r="B142">
        <v>3</v>
      </c>
      <c r="C142" t="s">
        <v>5</v>
      </c>
      <c r="D142" s="1">
        <v>45529</v>
      </c>
      <c r="E142" t="s">
        <v>19</v>
      </c>
      <c r="F142" t="s">
        <v>14</v>
      </c>
      <c r="G142" t="s">
        <v>15</v>
      </c>
      <c r="H142">
        <v>2</v>
      </c>
      <c r="I142">
        <v>376.02</v>
      </c>
      <c r="J142" t="s">
        <v>4</v>
      </c>
    </row>
    <row r="143" spans="1:10" x14ac:dyDescent="0.35">
      <c r="A143">
        <v>142</v>
      </c>
      <c r="B143">
        <v>58</v>
      </c>
      <c r="C143" t="s">
        <v>0</v>
      </c>
      <c r="D143" s="1">
        <v>44992</v>
      </c>
      <c r="E143" t="s">
        <v>11</v>
      </c>
      <c r="F143" t="s">
        <v>12</v>
      </c>
      <c r="G143" t="s">
        <v>20</v>
      </c>
      <c r="H143">
        <v>8</v>
      </c>
      <c r="I143">
        <v>126.34</v>
      </c>
      <c r="J143" t="s">
        <v>4</v>
      </c>
    </row>
    <row r="144" spans="1:10" x14ac:dyDescent="0.35">
      <c r="A144">
        <v>143</v>
      </c>
      <c r="B144">
        <v>39</v>
      </c>
      <c r="C144" t="s">
        <v>0</v>
      </c>
      <c r="D144" s="1">
        <v>45601</v>
      </c>
      <c r="E144" t="s">
        <v>11</v>
      </c>
      <c r="F144" t="s">
        <v>9</v>
      </c>
      <c r="G144" t="s">
        <v>3</v>
      </c>
      <c r="H144">
        <v>0</v>
      </c>
      <c r="I144">
        <v>499.32</v>
      </c>
      <c r="J144" t="s">
        <v>10</v>
      </c>
    </row>
    <row r="145" spans="1:10" x14ac:dyDescent="0.35">
      <c r="A145">
        <v>144</v>
      </c>
      <c r="B145">
        <v>14</v>
      </c>
      <c r="C145" t="s">
        <v>0</v>
      </c>
      <c r="D145" s="1">
        <v>45363</v>
      </c>
      <c r="E145" t="s">
        <v>6</v>
      </c>
      <c r="F145" t="s">
        <v>7</v>
      </c>
      <c r="G145" t="s">
        <v>3</v>
      </c>
      <c r="H145">
        <v>1</v>
      </c>
      <c r="I145">
        <v>451.65</v>
      </c>
      <c r="J145" t="s">
        <v>16</v>
      </c>
    </row>
    <row r="146" spans="1:10" x14ac:dyDescent="0.35">
      <c r="A146">
        <v>145</v>
      </c>
      <c r="B146">
        <v>9</v>
      </c>
      <c r="C146" t="s">
        <v>5</v>
      </c>
      <c r="D146" s="1">
        <v>45549</v>
      </c>
      <c r="E146" t="s">
        <v>19</v>
      </c>
      <c r="F146" t="s">
        <v>17</v>
      </c>
      <c r="G146" t="s">
        <v>3</v>
      </c>
      <c r="H146">
        <v>10</v>
      </c>
      <c r="I146">
        <v>300.98</v>
      </c>
      <c r="J146" t="s">
        <v>16</v>
      </c>
    </row>
    <row r="147" spans="1:10" x14ac:dyDescent="0.35">
      <c r="A147">
        <v>146</v>
      </c>
      <c r="B147">
        <v>68</v>
      </c>
      <c r="C147" t="s">
        <v>0</v>
      </c>
      <c r="D147" s="1">
        <v>45317</v>
      </c>
      <c r="E147" t="s">
        <v>6</v>
      </c>
      <c r="F147" t="s">
        <v>9</v>
      </c>
      <c r="G147" t="s">
        <v>3</v>
      </c>
      <c r="H147">
        <v>8</v>
      </c>
      <c r="I147">
        <v>310.60000000000002</v>
      </c>
      <c r="J147" t="s">
        <v>4</v>
      </c>
    </row>
    <row r="148" spans="1:10" x14ac:dyDescent="0.35">
      <c r="A148">
        <v>147</v>
      </c>
      <c r="B148">
        <v>84</v>
      </c>
      <c r="C148" t="s">
        <v>5</v>
      </c>
      <c r="D148" s="1">
        <v>45645</v>
      </c>
      <c r="E148" t="s">
        <v>6</v>
      </c>
      <c r="F148" t="s">
        <v>2</v>
      </c>
      <c r="G148" t="s">
        <v>3</v>
      </c>
      <c r="H148">
        <v>7</v>
      </c>
      <c r="I148">
        <v>446.28</v>
      </c>
      <c r="J148" t="s">
        <v>10</v>
      </c>
    </row>
    <row r="149" spans="1:10" x14ac:dyDescent="0.35">
      <c r="A149">
        <v>148</v>
      </c>
      <c r="B149">
        <v>52</v>
      </c>
      <c r="C149" t="s">
        <v>0</v>
      </c>
      <c r="D149" s="1">
        <v>45274</v>
      </c>
      <c r="E149" t="s">
        <v>11</v>
      </c>
      <c r="F149" t="s">
        <v>12</v>
      </c>
      <c r="G149" t="s">
        <v>18</v>
      </c>
      <c r="H149">
        <v>6</v>
      </c>
      <c r="I149">
        <v>170.01</v>
      </c>
      <c r="J149" t="s">
        <v>16</v>
      </c>
    </row>
    <row r="150" spans="1:10" x14ac:dyDescent="0.35">
      <c r="A150">
        <v>149</v>
      </c>
      <c r="B150">
        <v>61</v>
      </c>
      <c r="C150" t="s">
        <v>5</v>
      </c>
      <c r="D150" s="1">
        <v>45310</v>
      </c>
      <c r="E150" t="s">
        <v>11</v>
      </c>
      <c r="F150" t="s">
        <v>17</v>
      </c>
      <c r="G150" t="s">
        <v>15</v>
      </c>
      <c r="H150">
        <v>1</v>
      </c>
      <c r="I150">
        <v>227.3</v>
      </c>
      <c r="J150" t="s">
        <v>16</v>
      </c>
    </row>
    <row r="151" spans="1:10" x14ac:dyDescent="0.35">
      <c r="A151">
        <v>150</v>
      </c>
      <c r="B151">
        <v>8</v>
      </c>
      <c r="C151" t="s">
        <v>0</v>
      </c>
      <c r="D151" s="1">
        <v>45060</v>
      </c>
      <c r="E151" t="s">
        <v>11</v>
      </c>
      <c r="F151" t="s">
        <v>9</v>
      </c>
      <c r="G151" t="s">
        <v>3</v>
      </c>
      <c r="H151">
        <v>6</v>
      </c>
      <c r="I151">
        <v>189.73</v>
      </c>
      <c r="J151" t="s">
        <v>10</v>
      </c>
    </row>
    <row r="152" spans="1:10" x14ac:dyDescent="0.35">
      <c r="A152">
        <v>151</v>
      </c>
      <c r="B152">
        <v>77</v>
      </c>
      <c r="C152" t="s">
        <v>0</v>
      </c>
      <c r="D152" s="1">
        <v>44979</v>
      </c>
      <c r="E152" t="s">
        <v>19</v>
      </c>
      <c r="F152" t="s">
        <v>14</v>
      </c>
      <c r="G152" t="s">
        <v>15</v>
      </c>
      <c r="H152">
        <v>9</v>
      </c>
      <c r="I152">
        <v>263.56</v>
      </c>
      <c r="J152" t="s">
        <v>8</v>
      </c>
    </row>
    <row r="153" spans="1:10" x14ac:dyDescent="0.35">
      <c r="A153">
        <v>152</v>
      </c>
      <c r="B153">
        <v>29</v>
      </c>
      <c r="C153" t="s">
        <v>5</v>
      </c>
      <c r="D153" s="1">
        <v>45599</v>
      </c>
      <c r="E153" t="s">
        <v>19</v>
      </c>
      <c r="F153" t="s">
        <v>12</v>
      </c>
      <c r="G153" t="s">
        <v>3</v>
      </c>
      <c r="H153">
        <v>5</v>
      </c>
      <c r="I153">
        <v>75.14</v>
      </c>
      <c r="J153" t="s">
        <v>16</v>
      </c>
    </row>
    <row r="154" spans="1:10" x14ac:dyDescent="0.35">
      <c r="A154">
        <v>153</v>
      </c>
      <c r="B154">
        <v>55</v>
      </c>
      <c r="C154" t="s">
        <v>5</v>
      </c>
      <c r="D154" s="1">
        <v>45514</v>
      </c>
      <c r="E154" t="s">
        <v>19</v>
      </c>
      <c r="F154" t="s">
        <v>17</v>
      </c>
      <c r="G154" t="s">
        <v>15</v>
      </c>
      <c r="H154">
        <v>2</v>
      </c>
      <c r="I154">
        <v>151.16999999999999</v>
      </c>
      <c r="J154" t="s">
        <v>16</v>
      </c>
    </row>
    <row r="155" spans="1:10" x14ac:dyDescent="0.35">
      <c r="A155">
        <v>154</v>
      </c>
      <c r="B155">
        <v>1</v>
      </c>
      <c r="C155" t="s">
        <v>5</v>
      </c>
      <c r="D155" s="1">
        <v>45274</v>
      </c>
      <c r="E155" t="s">
        <v>1</v>
      </c>
      <c r="F155" t="s">
        <v>14</v>
      </c>
      <c r="G155" t="s">
        <v>3</v>
      </c>
      <c r="H155">
        <v>10</v>
      </c>
      <c r="I155">
        <v>212.38</v>
      </c>
      <c r="J155" t="s">
        <v>8</v>
      </c>
    </row>
    <row r="156" spans="1:10" x14ac:dyDescent="0.35">
      <c r="A156">
        <v>155</v>
      </c>
      <c r="B156">
        <v>12</v>
      </c>
      <c r="C156" t="s">
        <v>5</v>
      </c>
      <c r="D156" s="1">
        <v>45575</v>
      </c>
      <c r="E156" t="s">
        <v>6</v>
      </c>
      <c r="F156" t="s">
        <v>2</v>
      </c>
      <c r="G156" t="s">
        <v>3</v>
      </c>
      <c r="H156">
        <v>6</v>
      </c>
      <c r="I156">
        <v>237.75</v>
      </c>
      <c r="J156" t="s">
        <v>8</v>
      </c>
    </row>
    <row r="157" spans="1:10" x14ac:dyDescent="0.35">
      <c r="A157">
        <v>156</v>
      </c>
      <c r="B157">
        <v>42</v>
      </c>
      <c r="C157" t="s">
        <v>5</v>
      </c>
      <c r="D157" s="1">
        <v>45305</v>
      </c>
      <c r="E157" t="s">
        <v>11</v>
      </c>
      <c r="F157" t="s">
        <v>14</v>
      </c>
      <c r="G157" t="s">
        <v>13</v>
      </c>
      <c r="H157">
        <v>2</v>
      </c>
      <c r="I157">
        <v>382.13</v>
      </c>
      <c r="J157" t="s">
        <v>4</v>
      </c>
    </row>
    <row r="158" spans="1:10" x14ac:dyDescent="0.35">
      <c r="A158">
        <v>157</v>
      </c>
      <c r="B158">
        <v>35</v>
      </c>
      <c r="C158" t="s">
        <v>0</v>
      </c>
      <c r="D158" s="1">
        <v>45617</v>
      </c>
      <c r="E158" t="s">
        <v>6</v>
      </c>
      <c r="F158" t="s">
        <v>2</v>
      </c>
      <c r="G158" t="s">
        <v>3</v>
      </c>
      <c r="H158">
        <v>7</v>
      </c>
      <c r="I158">
        <v>311.39999999999998</v>
      </c>
      <c r="J158" t="s">
        <v>10</v>
      </c>
    </row>
    <row r="159" spans="1:10" x14ac:dyDescent="0.35">
      <c r="A159">
        <v>158</v>
      </c>
      <c r="B159">
        <v>66</v>
      </c>
      <c r="C159" t="s">
        <v>5</v>
      </c>
      <c r="D159" s="1">
        <v>45206</v>
      </c>
      <c r="E159" t="s">
        <v>19</v>
      </c>
      <c r="F159" t="s">
        <v>17</v>
      </c>
      <c r="G159" t="s">
        <v>20</v>
      </c>
      <c r="H159">
        <v>1</v>
      </c>
      <c r="I159">
        <v>155.96</v>
      </c>
      <c r="J159" t="s">
        <v>10</v>
      </c>
    </row>
    <row r="160" spans="1:10" x14ac:dyDescent="0.35">
      <c r="A160">
        <v>159</v>
      </c>
      <c r="B160">
        <v>40</v>
      </c>
      <c r="C160" t="s">
        <v>5</v>
      </c>
      <c r="D160" s="1">
        <v>45466</v>
      </c>
      <c r="E160" t="s">
        <v>1</v>
      </c>
      <c r="F160" t="s">
        <v>7</v>
      </c>
      <c r="G160" t="s">
        <v>3</v>
      </c>
      <c r="H160">
        <v>6</v>
      </c>
      <c r="I160">
        <v>492.53</v>
      </c>
      <c r="J160" t="s">
        <v>4</v>
      </c>
    </row>
    <row r="161" spans="1:10" x14ac:dyDescent="0.35">
      <c r="A161">
        <v>160</v>
      </c>
      <c r="B161">
        <v>39</v>
      </c>
      <c r="C161" t="s">
        <v>5</v>
      </c>
      <c r="D161" s="1">
        <v>44934</v>
      </c>
      <c r="E161" t="s">
        <v>1</v>
      </c>
      <c r="F161" t="s">
        <v>17</v>
      </c>
      <c r="G161" t="s">
        <v>18</v>
      </c>
      <c r="H161">
        <v>4</v>
      </c>
      <c r="I161">
        <v>177.5</v>
      </c>
      <c r="J161" t="s">
        <v>4</v>
      </c>
    </row>
    <row r="162" spans="1:10" x14ac:dyDescent="0.35">
      <c r="A162">
        <v>161</v>
      </c>
      <c r="B162">
        <v>56</v>
      </c>
      <c r="C162" t="s">
        <v>5</v>
      </c>
      <c r="D162" s="1">
        <v>45436</v>
      </c>
      <c r="E162" t="s">
        <v>1</v>
      </c>
      <c r="F162" t="s">
        <v>7</v>
      </c>
      <c r="G162" t="s">
        <v>3</v>
      </c>
      <c r="H162">
        <v>6</v>
      </c>
      <c r="I162">
        <v>275.64</v>
      </c>
      <c r="J162" t="s">
        <v>8</v>
      </c>
    </row>
    <row r="163" spans="1:10" x14ac:dyDescent="0.35">
      <c r="A163">
        <v>162</v>
      </c>
      <c r="B163">
        <v>46</v>
      </c>
      <c r="C163" t="s">
        <v>5</v>
      </c>
      <c r="D163" s="1">
        <v>45439</v>
      </c>
      <c r="E163" t="s">
        <v>6</v>
      </c>
      <c r="F163" t="s">
        <v>9</v>
      </c>
      <c r="G163" t="s">
        <v>3</v>
      </c>
      <c r="H163">
        <v>0</v>
      </c>
      <c r="I163">
        <v>229.39</v>
      </c>
      <c r="J163" t="s">
        <v>10</v>
      </c>
    </row>
    <row r="164" spans="1:10" x14ac:dyDescent="0.35">
      <c r="A164">
        <v>163</v>
      </c>
      <c r="B164">
        <v>74</v>
      </c>
      <c r="C164" t="s">
        <v>0</v>
      </c>
      <c r="D164" s="1">
        <v>45006</v>
      </c>
      <c r="E164" t="s">
        <v>6</v>
      </c>
      <c r="F164" t="s">
        <v>14</v>
      </c>
      <c r="G164" t="s">
        <v>20</v>
      </c>
      <c r="H164">
        <v>4</v>
      </c>
      <c r="I164">
        <v>75.28</v>
      </c>
      <c r="J164" t="s">
        <v>4</v>
      </c>
    </row>
    <row r="165" spans="1:10" x14ac:dyDescent="0.35">
      <c r="A165">
        <v>164</v>
      </c>
      <c r="B165">
        <v>80</v>
      </c>
      <c r="C165" t="s">
        <v>0</v>
      </c>
      <c r="D165" s="1">
        <v>45259</v>
      </c>
      <c r="E165" t="s">
        <v>19</v>
      </c>
      <c r="F165" t="s">
        <v>17</v>
      </c>
      <c r="G165" t="s">
        <v>15</v>
      </c>
      <c r="H165">
        <v>6</v>
      </c>
      <c r="I165">
        <v>425.35</v>
      </c>
      <c r="J165" t="s">
        <v>8</v>
      </c>
    </row>
    <row r="166" spans="1:10" x14ac:dyDescent="0.35">
      <c r="A166">
        <v>165</v>
      </c>
      <c r="B166">
        <v>52</v>
      </c>
      <c r="C166" t="s">
        <v>5</v>
      </c>
      <c r="D166" s="1">
        <v>45373</v>
      </c>
      <c r="E166" t="s">
        <v>6</v>
      </c>
      <c r="F166" t="s">
        <v>9</v>
      </c>
      <c r="G166" t="s">
        <v>3</v>
      </c>
      <c r="H166">
        <v>4</v>
      </c>
      <c r="I166">
        <v>377.99</v>
      </c>
      <c r="J166" t="s">
        <v>8</v>
      </c>
    </row>
    <row r="167" spans="1:10" x14ac:dyDescent="0.35">
      <c r="A167">
        <v>166</v>
      </c>
      <c r="B167">
        <v>10</v>
      </c>
      <c r="C167" t="s">
        <v>5</v>
      </c>
      <c r="D167" s="1">
        <v>45268</v>
      </c>
      <c r="E167" t="s">
        <v>1</v>
      </c>
      <c r="F167" t="s">
        <v>17</v>
      </c>
      <c r="G167" t="s">
        <v>18</v>
      </c>
      <c r="H167">
        <v>5</v>
      </c>
      <c r="I167">
        <v>369.14</v>
      </c>
      <c r="J167" t="s">
        <v>8</v>
      </c>
    </row>
    <row r="168" spans="1:10" x14ac:dyDescent="0.35">
      <c r="A168">
        <v>167</v>
      </c>
      <c r="B168">
        <v>19</v>
      </c>
      <c r="C168" t="s">
        <v>0</v>
      </c>
      <c r="D168" s="1">
        <v>45168</v>
      </c>
      <c r="E168" t="s">
        <v>1</v>
      </c>
      <c r="F168" t="s">
        <v>2</v>
      </c>
      <c r="G168" t="s">
        <v>3</v>
      </c>
      <c r="H168">
        <v>2</v>
      </c>
      <c r="I168">
        <v>309.14999999999998</v>
      </c>
      <c r="J168" t="s">
        <v>4</v>
      </c>
    </row>
    <row r="169" spans="1:10" x14ac:dyDescent="0.35">
      <c r="A169">
        <v>168</v>
      </c>
      <c r="B169">
        <v>64</v>
      </c>
      <c r="C169" t="s">
        <v>0</v>
      </c>
      <c r="D169" s="1">
        <v>45108</v>
      </c>
      <c r="E169" t="s">
        <v>6</v>
      </c>
      <c r="F169" t="s">
        <v>7</v>
      </c>
      <c r="G169" t="s">
        <v>3</v>
      </c>
      <c r="H169">
        <v>10</v>
      </c>
      <c r="I169">
        <v>463.59</v>
      </c>
      <c r="J169" t="s">
        <v>16</v>
      </c>
    </row>
    <row r="170" spans="1:10" x14ac:dyDescent="0.35">
      <c r="A170">
        <v>169</v>
      </c>
      <c r="B170">
        <v>20</v>
      </c>
      <c r="C170" t="s">
        <v>0</v>
      </c>
      <c r="D170" s="1">
        <v>45569</v>
      </c>
      <c r="E170" t="s">
        <v>11</v>
      </c>
      <c r="F170" t="s">
        <v>14</v>
      </c>
      <c r="G170" t="s">
        <v>20</v>
      </c>
      <c r="H170">
        <v>7</v>
      </c>
      <c r="I170">
        <v>323.06</v>
      </c>
      <c r="J170" t="s">
        <v>16</v>
      </c>
    </row>
    <row r="171" spans="1:10" x14ac:dyDescent="0.35">
      <c r="A171">
        <v>170</v>
      </c>
      <c r="B171">
        <v>46</v>
      </c>
      <c r="C171" t="s">
        <v>5</v>
      </c>
      <c r="D171" s="1">
        <v>45532</v>
      </c>
      <c r="E171" t="s">
        <v>19</v>
      </c>
      <c r="F171" t="s">
        <v>2</v>
      </c>
      <c r="G171" t="s">
        <v>3</v>
      </c>
      <c r="H171">
        <v>7</v>
      </c>
      <c r="I171">
        <v>236.92</v>
      </c>
      <c r="J171" t="s">
        <v>4</v>
      </c>
    </row>
    <row r="172" spans="1:10" x14ac:dyDescent="0.35">
      <c r="A172">
        <v>171</v>
      </c>
      <c r="B172">
        <v>10</v>
      </c>
      <c r="C172" t="s">
        <v>5</v>
      </c>
      <c r="D172" s="1">
        <v>45304</v>
      </c>
      <c r="E172" t="s">
        <v>6</v>
      </c>
      <c r="F172" t="s">
        <v>14</v>
      </c>
      <c r="G172" t="s">
        <v>20</v>
      </c>
      <c r="H172">
        <v>9</v>
      </c>
      <c r="I172">
        <v>286.07</v>
      </c>
      <c r="J172" t="s">
        <v>4</v>
      </c>
    </row>
    <row r="173" spans="1:10" x14ac:dyDescent="0.35">
      <c r="A173">
        <v>172</v>
      </c>
      <c r="B173">
        <v>84</v>
      </c>
      <c r="C173" t="s">
        <v>5</v>
      </c>
      <c r="D173" s="1">
        <v>45387</v>
      </c>
      <c r="E173" t="s">
        <v>19</v>
      </c>
      <c r="F173" t="s">
        <v>9</v>
      </c>
      <c r="G173" t="s">
        <v>3</v>
      </c>
      <c r="H173">
        <v>9</v>
      </c>
      <c r="I173">
        <v>248.3</v>
      </c>
      <c r="J173" t="s">
        <v>8</v>
      </c>
    </row>
    <row r="174" spans="1:10" x14ac:dyDescent="0.35">
      <c r="A174">
        <v>173</v>
      </c>
      <c r="B174">
        <v>14</v>
      </c>
      <c r="C174" t="s">
        <v>0</v>
      </c>
      <c r="D174" s="1">
        <v>44990</v>
      </c>
      <c r="E174" t="s">
        <v>11</v>
      </c>
      <c r="F174" t="s">
        <v>12</v>
      </c>
      <c r="G174" t="s">
        <v>3</v>
      </c>
      <c r="H174">
        <v>10</v>
      </c>
      <c r="I174">
        <v>102.83</v>
      </c>
      <c r="J174" t="s">
        <v>8</v>
      </c>
    </row>
    <row r="175" spans="1:10" x14ac:dyDescent="0.35">
      <c r="A175">
        <v>174</v>
      </c>
      <c r="B175">
        <v>57</v>
      </c>
      <c r="C175" t="s">
        <v>5</v>
      </c>
      <c r="D175" s="1">
        <v>45651</v>
      </c>
      <c r="E175" t="s">
        <v>19</v>
      </c>
      <c r="F175" t="s">
        <v>12</v>
      </c>
      <c r="G175" t="s">
        <v>18</v>
      </c>
      <c r="H175">
        <v>4</v>
      </c>
      <c r="I175">
        <v>205.96</v>
      </c>
      <c r="J175" t="s">
        <v>16</v>
      </c>
    </row>
    <row r="176" spans="1:10" x14ac:dyDescent="0.35">
      <c r="A176">
        <v>175</v>
      </c>
      <c r="B176">
        <v>7</v>
      </c>
      <c r="C176" t="s">
        <v>0</v>
      </c>
      <c r="D176" s="1">
        <v>45622</v>
      </c>
      <c r="E176" t="s">
        <v>11</v>
      </c>
      <c r="F176" t="s">
        <v>9</v>
      </c>
      <c r="G176" t="s">
        <v>3</v>
      </c>
      <c r="H176">
        <v>5</v>
      </c>
      <c r="I176">
        <v>65.36</v>
      </c>
      <c r="J176" t="s">
        <v>10</v>
      </c>
    </row>
    <row r="177" spans="1:10" x14ac:dyDescent="0.35">
      <c r="A177">
        <v>176</v>
      </c>
      <c r="B177">
        <v>85</v>
      </c>
      <c r="C177" t="s">
        <v>5</v>
      </c>
      <c r="D177" s="1">
        <v>45217</v>
      </c>
      <c r="E177" t="s">
        <v>19</v>
      </c>
      <c r="F177" t="s">
        <v>14</v>
      </c>
      <c r="G177" t="s">
        <v>15</v>
      </c>
      <c r="H177">
        <v>9</v>
      </c>
      <c r="I177">
        <v>338.53</v>
      </c>
      <c r="J177" t="s">
        <v>16</v>
      </c>
    </row>
    <row r="178" spans="1:10" x14ac:dyDescent="0.35">
      <c r="A178">
        <v>177</v>
      </c>
      <c r="B178">
        <v>85</v>
      </c>
      <c r="C178" t="s">
        <v>0</v>
      </c>
      <c r="D178" s="1">
        <v>45244</v>
      </c>
      <c r="E178" t="s">
        <v>1</v>
      </c>
      <c r="F178" t="s">
        <v>7</v>
      </c>
      <c r="G178" t="s">
        <v>3</v>
      </c>
      <c r="H178">
        <v>9</v>
      </c>
      <c r="I178">
        <v>360.24</v>
      </c>
      <c r="J178" t="s">
        <v>4</v>
      </c>
    </row>
    <row r="179" spans="1:10" x14ac:dyDescent="0.35">
      <c r="A179">
        <v>178</v>
      </c>
      <c r="B179">
        <v>49</v>
      </c>
      <c r="C179" t="s">
        <v>0</v>
      </c>
      <c r="D179" s="1">
        <v>45244</v>
      </c>
      <c r="E179" t="s">
        <v>1</v>
      </c>
      <c r="F179" t="s">
        <v>9</v>
      </c>
      <c r="G179" t="s">
        <v>3</v>
      </c>
      <c r="H179">
        <v>10</v>
      </c>
      <c r="I179">
        <v>357.36</v>
      </c>
      <c r="J179" t="s">
        <v>4</v>
      </c>
    </row>
    <row r="180" spans="1:10" x14ac:dyDescent="0.35">
      <c r="A180">
        <v>179</v>
      </c>
      <c r="B180">
        <v>55</v>
      </c>
      <c r="C180" t="s">
        <v>0</v>
      </c>
      <c r="D180" s="1">
        <v>45588</v>
      </c>
      <c r="E180" t="s">
        <v>11</v>
      </c>
      <c r="F180" t="s">
        <v>7</v>
      </c>
      <c r="G180" t="s">
        <v>3</v>
      </c>
      <c r="H180">
        <v>5</v>
      </c>
      <c r="I180">
        <v>168.26</v>
      </c>
      <c r="J180" t="s">
        <v>8</v>
      </c>
    </row>
    <row r="181" spans="1:10" x14ac:dyDescent="0.35">
      <c r="A181">
        <v>180</v>
      </c>
      <c r="B181">
        <v>25</v>
      </c>
      <c r="C181" t="s">
        <v>5</v>
      </c>
      <c r="D181" s="1">
        <v>45276</v>
      </c>
      <c r="E181" t="s">
        <v>1</v>
      </c>
      <c r="F181" t="s">
        <v>12</v>
      </c>
      <c r="G181" t="s">
        <v>13</v>
      </c>
      <c r="H181">
        <v>1</v>
      </c>
      <c r="I181">
        <v>161.97999999999999</v>
      </c>
      <c r="J181" t="s">
        <v>4</v>
      </c>
    </row>
    <row r="182" spans="1:10" x14ac:dyDescent="0.35">
      <c r="A182">
        <v>181</v>
      </c>
      <c r="B182">
        <v>68</v>
      </c>
      <c r="C182" t="s">
        <v>5</v>
      </c>
      <c r="D182" s="1">
        <v>45446</v>
      </c>
      <c r="E182" t="s">
        <v>19</v>
      </c>
      <c r="F182" t="s">
        <v>9</v>
      </c>
      <c r="G182" t="s">
        <v>3</v>
      </c>
      <c r="H182">
        <v>9</v>
      </c>
      <c r="I182">
        <v>82.9</v>
      </c>
      <c r="J182" t="s">
        <v>10</v>
      </c>
    </row>
    <row r="183" spans="1:10" x14ac:dyDescent="0.35">
      <c r="A183">
        <v>182</v>
      </c>
      <c r="B183">
        <v>24</v>
      </c>
      <c r="C183" t="s">
        <v>5</v>
      </c>
      <c r="D183" s="1">
        <v>45084</v>
      </c>
      <c r="E183" t="s">
        <v>6</v>
      </c>
      <c r="F183" t="s">
        <v>17</v>
      </c>
      <c r="G183" t="s">
        <v>15</v>
      </c>
      <c r="H183">
        <v>6</v>
      </c>
      <c r="I183">
        <v>194.86</v>
      </c>
      <c r="J183" t="s">
        <v>8</v>
      </c>
    </row>
    <row r="184" spans="1:10" x14ac:dyDescent="0.35">
      <c r="A184">
        <v>183</v>
      </c>
      <c r="B184">
        <v>37</v>
      </c>
      <c r="C184" t="s">
        <v>0</v>
      </c>
      <c r="D184" s="1">
        <v>45381</v>
      </c>
      <c r="E184" t="s">
        <v>1</v>
      </c>
      <c r="F184" t="s">
        <v>9</v>
      </c>
      <c r="G184" t="s">
        <v>3</v>
      </c>
      <c r="H184">
        <v>8</v>
      </c>
      <c r="I184">
        <v>134.80000000000001</v>
      </c>
      <c r="J184" t="s">
        <v>10</v>
      </c>
    </row>
    <row r="185" spans="1:10" x14ac:dyDescent="0.35">
      <c r="A185">
        <v>184</v>
      </c>
      <c r="B185">
        <v>74</v>
      </c>
      <c r="C185" t="s">
        <v>0</v>
      </c>
      <c r="D185" s="1">
        <v>45125</v>
      </c>
      <c r="E185" t="s">
        <v>6</v>
      </c>
      <c r="F185" t="s">
        <v>14</v>
      </c>
      <c r="G185" t="s">
        <v>18</v>
      </c>
      <c r="H185">
        <v>6</v>
      </c>
      <c r="I185">
        <v>261.39999999999998</v>
      </c>
      <c r="J185" t="s">
        <v>10</v>
      </c>
    </row>
    <row r="186" spans="1:10" x14ac:dyDescent="0.35">
      <c r="A186">
        <v>185</v>
      </c>
      <c r="B186">
        <v>78</v>
      </c>
      <c r="C186" t="s">
        <v>5</v>
      </c>
      <c r="D186" s="1">
        <v>45092</v>
      </c>
      <c r="E186" t="s">
        <v>19</v>
      </c>
      <c r="F186" t="s">
        <v>17</v>
      </c>
      <c r="G186" t="s">
        <v>15</v>
      </c>
      <c r="H186">
        <v>10</v>
      </c>
      <c r="I186">
        <v>250.68</v>
      </c>
      <c r="J186" t="s">
        <v>16</v>
      </c>
    </row>
    <row r="187" spans="1:10" x14ac:dyDescent="0.35">
      <c r="A187">
        <v>186</v>
      </c>
      <c r="B187">
        <v>67</v>
      </c>
      <c r="C187" t="s">
        <v>5</v>
      </c>
      <c r="D187" s="1">
        <v>45494</v>
      </c>
      <c r="E187" t="s">
        <v>19</v>
      </c>
      <c r="F187" t="s">
        <v>2</v>
      </c>
      <c r="G187" t="s">
        <v>3</v>
      </c>
      <c r="H187">
        <v>1</v>
      </c>
      <c r="I187">
        <v>386.3</v>
      </c>
      <c r="J187" t="s">
        <v>16</v>
      </c>
    </row>
    <row r="188" spans="1:10" x14ac:dyDescent="0.35">
      <c r="A188">
        <v>187</v>
      </c>
      <c r="B188">
        <v>19</v>
      </c>
      <c r="C188" t="s">
        <v>0</v>
      </c>
      <c r="D188" s="1">
        <v>45387</v>
      </c>
      <c r="E188" t="s">
        <v>11</v>
      </c>
      <c r="F188" t="s">
        <v>9</v>
      </c>
      <c r="G188" t="s">
        <v>3</v>
      </c>
      <c r="H188">
        <v>3</v>
      </c>
      <c r="I188">
        <v>412.02</v>
      </c>
      <c r="J188" t="s">
        <v>16</v>
      </c>
    </row>
    <row r="189" spans="1:10" x14ac:dyDescent="0.35">
      <c r="A189">
        <v>188</v>
      </c>
      <c r="B189">
        <v>7</v>
      </c>
      <c r="C189" t="s">
        <v>0</v>
      </c>
      <c r="D189" s="1">
        <v>44954</v>
      </c>
      <c r="E189" t="s">
        <v>19</v>
      </c>
      <c r="F189" t="s">
        <v>12</v>
      </c>
      <c r="G189" t="s">
        <v>13</v>
      </c>
      <c r="H189">
        <v>6</v>
      </c>
      <c r="I189">
        <v>497.37</v>
      </c>
      <c r="J189" t="s">
        <v>16</v>
      </c>
    </row>
    <row r="190" spans="1:10" x14ac:dyDescent="0.35">
      <c r="A190">
        <v>189</v>
      </c>
      <c r="B190">
        <v>41</v>
      </c>
      <c r="C190" t="s">
        <v>5</v>
      </c>
      <c r="D190" s="1">
        <v>45156</v>
      </c>
      <c r="E190" t="s">
        <v>19</v>
      </c>
      <c r="F190" t="s">
        <v>2</v>
      </c>
      <c r="G190" t="s">
        <v>3</v>
      </c>
      <c r="H190">
        <v>2</v>
      </c>
      <c r="I190">
        <v>86.05</v>
      </c>
      <c r="J190" t="s">
        <v>16</v>
      </c>
    </row>
    <row r="191" spans="1:10" x14ac:dyDescent="0.35">
      <c r="A191">
        <v>190</v>
      </c>
      <c r="B191">
        <v>18</v>
      </c>
      <c r="C191" t="s">
        <v>0</v>
      </c>
      <c r="D191" s="1">
        <v>45410</v>
      </c>
      <c r="E191" t="s">
        <v>6</v>
      </c>
      <c r="F191" t="s">
        <v>7</v>
      </c>
      <c r="G191" t="s">
        <v>3</v>
      </c>
      <c r="H191">
        <v>9</v>
      </c>
      <c r="I191">
        <v>22.52</v>
      </c>
      <c r="J191" t="s">
        <v>4</v>
      </c>
    </row>
    <row r="192" spans="1:10" x14ac:dyDescent="0.35">
      <c r="A192">
        <v>191</v>
      </c>
      <c r="B192">
        <v>28</v>
      </c>
      <c r="C192" t="s">
        <v>5</v>
      </c>
      <c r="D192" s="1">
        <v>44946</v>
      </c>
      <c r="E192" t="s">
        <v>6</v>
      </c>
      <c r="F192" t="s">
        <v>14</v>
      </c>
      <c r="G192" t="s">
        <v>15</v>
      </c>
      <c r="H192">
        <v>4</v>
      </c>
      <c r="I192">
        <v>134.07</v>
      </c>
      <c r="J192" t="s">
        <v>4</v>
      </c>
    </row>
    <row r="193" spans="1:10" x14ac:dyDescent="0.35">
      <c r="A193">
        <v>192</v>
      </c>
      <c r="B193">
        <v>54</v>
      </c>
      <c r="C193" t="s">
        <v>0</v>
      </c>
      <c r="D193" s="1">
        <v>44975</v>
      </c>
      <c r="E193" t="s">
        <v>11</v>
      </c>
      <c r="F193" t="s">
        <v>17</v>
      </c>
      <c r="G193" t="s">
        <v>15</v>
      </c>
      <c r="H193">
        <v>7</v>
      </c>
      <c r="I193">
        <v>306.43</v>
      </c>
      <c r="J193" t="s">
        <v>4</v>
      </c>
    </row>
    <row r="194" spans="1:10" x14ac:dyDescent="0.35">
      <c r="A194">
        <v>193</v>
      </c>
      <c r="B194">
        <v>74</v>
      </c>
      <c r="C194" t="s">
        <v>5</v>
      </c>
      <c r="D194" s="1">
        <v>45574</v>
      </c>
      <c r="E194" t="s">
        <v>1</v>
      </c>
      <c r="F194" t="s">
        <v>9</v>
      </c>
      <c r="G194" t="s">
        <v>3</v>
      </c>
      <c r="H194">
        <v>4</v>
      </c>
      <c r="I194">
        <v>226.03</v>
      </c>
      <c r="J194" t="s">
        <v>16</v>
      </c>
    </row>
    <row r="195" spans="1:10" x14ac:dyDescent="0.35">
      <c r="A195">
        <v>194</v>
      </c>
      <c r="B195">
        <v>54</v>
      </c>
      <c r="C195" t="s">
        <v>5</v>
      </c>
      <c r="D195" s="1">
        <v>45173</v>
      </c>
      <c r="E195" t="s">
        <v>11</v>
      </c>
      <c r="F195" t="s">
        <v>9</v>
      </c>
      <c r="G195" t="s">
        <v>3</v>
      </c>
      <c r="H195">
        <v>8</v>
      </c>
      <c r="I195">
        <v>487.83</v>
      </c>
      <c r="J195" t="s">
        <v>4</v>
      </c>
    </row>
    <row r="196" spans="1:10" x14ac:dyDescent="0.35">
      <c r="A196">
        <v>195</v>
      </c>
      <c r="B196">
        <v>65</v>
      </c>
      <c r="C196" t="s">
        <v>5</v>
      </c>
      <c r="D196" s="1">
        <v>45465</v>
      </c>
      <c r="E196" t="s">
        <v>6</v>
      </c>
      <c r="F196" t="s">
        <v>9</v>
      </c>
      <c r="G196" t="s">
        <v>3</v>
      </c>
      <c r="H196">
        <v>7</v>
      </c>
      <c r="I196">
        <v>40.9</v>
      </c>
      <c r="J196" t="s">
        <v>10</v>
      </c>
    </row>
    <row r="197" spans="1:10" x14ac:dyDescent="0.35">
      <c r="A197">
        <v>196</v>
      </c>
      <c r="B197">
        <v>3</v>
      </c>
      <c r="C197" t="s">
        <v>0</v>
      </c>
      <c r="D197" s="1">
        <v>45309</v>
      </c>
      <c r="E197" t="s">
        <v>11</v>
      </c>
      <c r="F197" t="s">
        <v>14</v>
      </c>
      <c r="G197" t="s">
        <v>18</v>
      </c>
      <c r="H197">
        <v>3</v>
      </c>
      <c r="I197">
        <v>371.81</v>
      </c>
      <c r="J197" t="s">
        <v>4</v>
      </c>
    </row>
    <row r="198" spans="1:10" x14ac:dyDescent="0.35">
      <c r="A198">
        <v>197</v>
      </c>
      <c r="B198">
        <v>43</v>
      </c>
      <c r="C198" t="s">
        <v>5</v>
      </c>
      <c r="D198" s="1">
        <v>45522</v>
      </c>
      <c r="E198" t="s">
        <v>11</v>
      </c>
      <c r="F198" t="s">
        <v>7</v>
      </c>
      <c r="G198" t="s">
        <v>3</v>
      </c>
      <c r="H198">
        <v>5</v>
      </c>
      <c r="I198">
        <v>282.08999999999997</v>
      </c>
      <c r="J198" t="s">
        <v>8</v>
      </c>
    </row>
    <row r="199" spans="1:10" x14ac:dyDescent="0.35">
      <c r="A199">
        <v>198</v>
      </c>
      <c r="B199">
        <v>62</v>
      </c>
      <c r="C199" t="s">
        <v>5</v>
      </c>
      <c r="D199" s="1">
        <v>45628</v>
      </c>
      <c r="E199" t="s">
        <v>1</v>
      </c>
      <c r="F199" t="s">
        <v>12</v>
      </c>
      <c r="G199" t="s">
        <v>15</v>
      </c>
      <c r="H199">
        <v>7</v>
      </c>
      <c r="I199">
        <v>37.75</v>
      </c>
      <c r="J199" t="s">
        <v>8</v>
      </c>
    </row>
    <row r="200" spans="1:10" x14ac:dyDescent="0.35">
      <c r="A200">
        <v>199</v>
      </c>
      <c r="B200">
        <v>6</v>
      </c>
      <c r="C200" t="s">
        <v>0</v>
      </c>
      <c r="D200" s="1">
        <v>44971</v>
      </c>
      <c r="E200" t="s">
        <v>19</v>
      </c>
      <c r="F200" t="s">
        <v>17</v>
      </c>
      <c r="G200" t="s">
        <v>3</v>
      </c>
      <c r="H200">
        <v>6</v>
      </c>
      <c r="I200">
        <v>494.78</v>
      </c>
      <c r="J200" t="s">
        <v>10</v>
      </c>
    </row>
    <row r="201" spans="1:10" x14ac:dyDescent="0.35">
      <c r="A201">
        <v>200</v>
      </c>
      <c r="B201">
        <v>83</v>
      </c>
      <c r="C201" t="s">
        <v>5</v>
      </c>
      <c r="D201" s="1">
        <v>45186</v>
      </c>
      <c r="E201" t="s">
        <v>19</v>
      </c>
      <c r="F201" t="s">
        <v>2</v>
      </c>
      <c r="G201" t="s">
        <v>3</v>
      </c>
      <c r="H201">
        <v>5</v>
      </c>
      <c r="I201">
        <v>433.83</v>
      </c>
      <c r="J201" t="s">
        <v>4</v>
      </c>
    </row>
    <row r="202" spans="1:10" x14ac:dyDescent="0.35">
      <c r="A202">
        <v>201</v>
      </c>
      <c r="B202">
        <v>35</v>
      </c>
      <c r="C202" t="s">
        <v>5</v>
      </c>
      <c r="D202" s="1">
        <v>45598</v>
      </c>
      <c r="E202" t="s">
        <v>19</v>
      </c>
      <c r="F202" t="s">
        <v>14</v>
      </c>
      <c r="G202" t="s">
        <v>20</v>
      </c>
      <c r="H202">
        <v>6</v>
      </c>
      <c r="I202">
        <v>376.79</v>
      </c>
      <c r="J202" t="s">
        <v>10</v>
      </c>
    </row>
    <row r="203" spans="1:10" x14ac:dyDescent="0.35">
      <c r="A203">
        <v>202</v>
      </c>
      <c r="B203">
        <v>64</v>
      </c>
      <c r="C203" t="s">
        <v>0</v>
      </c>
      <c r="D203" s="1">
        <v>45274</v>
      </c>
      <c r="E203" t="s">
        <v>19</v>
      </c>
      <c r="F203" t="s">
        <v>17</v>
      </c>
      <c r="G203" t="s">
        <v>3</v>
      </c>
      <c r="H203">
        <v>4</v>
      </c>
      <c r="I203">
        <v>404.55</v>
      </c>
      <c r="J203" t="s">
        <v>10</v>
      </c>
    </row>
    <row r="204" spans="1:10" x14ac:dyDescent="0.35">
      <c r="A204">
        <v>203</v>
      </c>
      <c r="B204">
        <v>78</v>
      </c>
      <c r="C204" t="s">
        <v>5</v>
      </c>
      <c r="D204" s="1">
        <v>45007</v>
      </c>
      <c r="E204" t="s">
        <v>19</v>
      </c>
      <c r="F204" t="s">
        <v>12</v>
      </c>
      <c r="G204" t="s">
        <v>18</v>
      </c>
      <c r="H204">
        <v>1</v>
      </c>
      <c r="I204">
        <v>58.43</v>
      </c>
      <c r="J204" t="s">
        <v>16</v>
      </c>
    </row>
    <row r="205" spans="1:10" x14ac:dyDescent="0.35">
      <c r="A205">
        <v>204</v>
      </c>
      <c r="B205">
        <v>78</v>
      </c>
      <c r="C205" t="s">
        <v>0</v>
      </c>
      <c r="D205" s="1">
        <v>45240</v>
      </c>
      <c r="E205" t="s">
        <v>1</v>
      </c>
      <c r="F205" t="s">
        <v>12</v>
      </c>
      <c r="G205" t="s">
        <v>20</v>
      </c>
      <c r="H205">
        <v>5</v>
      </c>
      <c r="I205">
        <v>234.62</v>
      </c>
      <c r="J205" t="s">
        <v>16</v>
      </c>
    </row>
    <row r="206" spans="1:10" x14ac:dyDescent="0.35">
      <c r="A206">
        <v>205</v>
      </c>
      <c r="B206">
        <v>36</v>
      </c>
      <c r="C206" t="s">
        <v>5</v>
      </c>
      <c r="D206" s="1">
        <v>45556</v>
      </c>
      <c r="E206" t="s">
        <v>11</v>
      </c>
      <c r="F206" t="s">
        <v>12</v>
      </c>
      <c r="G206" t="s">
        <v>20</v>
      </c>
      <c r="H206">
        <v>5</v>
      </c>
      <c r="I206">
        <v>266.27999999999997</v>
      </c>
      <c r="J206" t="s">
        <v>8</v>
      </c>
    </row>
    <row r="207" spans="1:10" x14ac:dyDescent="0.35">
      <c r="A207">
        <v>206</v>
      </c>
      <c r="B207">
        <v>78</v>
      </c>
      <c r="C207" t="s">
        <v>0</v>
      </c>
      <c r="D207" s="1">
        <v>44958</v>
      </c>
      <c r="E207" t="s">
        <v>11</v>
      </c>
      <c r="F207" t="s">
        <v>17</v>
      </c>
      <c r="G207" t="s">
        <v>13</v>
      </c>
      <c r="H207">
        <v>1</v>
      </c>
      <c r="I207">
        <v>133.28</v>
      </c>
      <c r="J207" t="s">
        <v>16</v>
      </c>
    </row>
    <row r="208" spans="1:10" x14ac:dyDescent="0.35">
      <c r="A208">
        <v>207</v>
      </c>
      <c r="B208">
        <v>73</v>
      </c>
      <c r="C208" t="s">
        <v>5</v>
      </c>
      <c r="D208" s="1">
        <v>45297</v>
      </c>
      <c r="E208" t="s">
        <v>1</v>
      </c>
      <c r="F208" t="s">
        <v>12</v>
      </c>
      <c r="G208" t="s">
        <v>20</v>
      </c>
      <c r="H208">
        <v>5</v>
      </c>
      <c r="I208">
        <v>198.57</v>
      </c>
      <c r="J208" t="s">
        <v>4</v>
      </c>
    </row>
    <row r="209" spans="1:10" x14ac:dyDescent="0.35">
      <c r="A209">
        <v>208</v>
      </c>
      <c r="B209">
        <v>68</v>
      </c>
      <c r="C209" t="s">
        <v>0</v>
      </c>
      <c r="D209" s="1">
        <v>45514</v>
      </c>
      <c r="E209" t="s">
        <v>6</v>
      </c>
      <c r="F209" t="s">
        <v>17</v>
      </c>
      <c r="G209" t="s">
        <v>18</v>
      </c>
      <c r="H209">
        <v>10</v>
      </c>
      <c r="I209">
        <v>153.77000000000001</v>
      </c>
      <c r="J209" t="s">
        <v>4</v>
      </c>
    </row>
    <row r="210" spans="1:10" x14ac:dyDescent="0.35">
      <c r="A210">
        <v>209</v>
      </c>
      <c r="B210">
        <v>24</v>
      </c>
      <c r="C210" t="s">
        <v>0</v>
      </c>
      <c r="D210" s="1">
        <v>44953</v>
      </c>
      <c r="E210" t="s">
        <v>6</v>
      </c>
      <c r="F210" t="s">
        <v>7</v>
      </c>
      <c r="G210" t="s">
        <v>3</v>
      </c>
      <c r="H210">
        <v>8</v>
      </c>
      <c r="I210">
        <v>76.53</v>
      </c>
      <c r="J210" t="s">
        <v>16</v>
      </c>
    </row>
    <row r="211" spans="1:10" x14ac:dyDescent="0.35">
      <c r="A211">
        <v>210</v>
      </c>
      <c r="B211">
        <v>28</v>
      </c>
      <c r="C211" t="s">
        <v>0</v>
      </c>
      <c r="D211" s="1">
        <v>45647</v>
      </c>
      <c r="E211" t="s">
        <v>6</v>
      </c>
      <c r="F211" t="s">
        <v>12</v>
      </c>
      <c r="G211" t="s">
        <v>13</v>
      </c>
      <c r="H211">
        <v>1</v>
      </c>
      <c r="I211">
        <v>85.15</v>
      </c>
      <c r="J211" t="s">
        <v>4</v>
      </c>
    </row>
    <row r="212" spans="1:10" x14ac:dyDescent="0.35">
      <c r="A212">
        <v>211</v>
      </c>
      <c r="B212">
        <v>57</v>
      </c>
      <c r="C212" t="s">
        <v>5</v>
      </c>
      <c r="D212" s="1">
        <v>45389</v>
      </c>
      <c r="E212" t="s">
        <v>19</v>
      </c>
      <c r="F212" t="s">
        <v>17</v>
      </c>
      <c r="G212" t="s">
        <v>18</v>
      </c>
      <c r="H212">
        <v>1</v>
      </c>
      <c r="I212">
        <v>284</v>
      </c>
      <c r="J212" t="s">
        <v>16</v>
      </c>
    </row>
    <row r="213" spans="1:10" x14ac:dyDescent="0.35">
      <c r="A213">
        <v>212</v>
      </c>
      <c r="B213">
        <v>82</v>
      </c>
      <c r="C213" t="s">
        <v>5</v>
      </c>
      <c r="D213" s="1">
        <v>45234</v>
      </c>
      <c r="E213" t="s">
        <v>19</v>
      </c>
      <c r="F213" t="s">
        <v>17</v>
      </c>
      <c r="G213" t="s">
        <v>3</v>
      </c>
      <c r="H213">
        <v>3</v>
      </c>
      <c r="I213">
        <v>78.25</v>
      </c>
      <c r="J213" t="s">
        <v>8</v>
      </c>
    </row>
    <row r="214" spans="1:10" x14ac:dyDescent="0.35">
      <c r="A214">
        <v>213</v>
      </c>
      <c r="B214">
        <v>64</v>
      </c>
      <c r="C214" t="s">
        <v>5</v>
      </c>
      <c r="D214" s="1">
        <v>45069</v>
      </c>
      <c r="E214" t="s">
        <v>19</v>
      </c>
      <c r="F214" t="s">
        <v>17</v>
      </c>
      <c r="G214" t="s">
        <v>3</v>
      </c>
      <c r="H214">
        <v>9</v>
      </c>
      <c r="I214">
        <v>197.08</v>
      </c>
      <c r="J214" t="s">
        <v>8</v>
      </c>
    </row>
    <row r="215" spans="1:10" x14ac:dyDescent="0.35">
      <c r="A215">
        <v>214</v>
      </c>
      <c r="B215">
        <v>9</v>
      </c>
      <c r="C215" t="s">
        <v>0</v>
      </c>
      <c r="D215" s="1">
        <v>45553</v>
      </c>
      <c r="E215" t="s">
        <v>6</v>
      </c>
      <c r="F215" t="s">
        <v>2</v>
      </c>
      <c r="G215" t="s">
        <v>3</v>
      </c>
      <c r="H215">
        <v>7</v>
      </c>
      <c r="I215">
        <v>272.33</v>
      </c>
      <c r="J215" t="s">
        <v>10</v>
      </c>
    </row>
    <row r="216" spans="1:10" x14ac:dyDescent="0.35">
      <c r="A216">
        <v>215</v>
      </c>
      <c r="B216">
        <v>17</v>
      </c>
      <c r="C216" t="s">
        <v>0</v>
      </c>
      <c r="D216" s="1">
        <v>45515</v>
      </c>
      <c r="E216" t="s">
        <v>11</v>
      </c>
      <c r="F216" t="s">
        <v>2</v>
      </c>
      <c r="G216" t="s">
        <v>3</v>
      </c>
      <c r="H216">
        <v>7</v>
      </c>
      <c r="I216">
        <v>243.6</v>
      </c>
      <c r="J216" t="s">
        <v>16</v>
      </c>
    </row>
    <row r="217" spans="1:10" x14ac:dyDescent="0.35">
      <c r="A217">
        <v>216</v>
      </c>
      <c r="B217">
        <v>82</v>
      </c>
      <c r="C217" t="s">
        <v>5</v>
      </c>
      <c r="D217" s="1">
        <v>45058</v>
      </c>
      <c r="E217" t="s">
        <v>1</v>
      </c>
      <c r="F217" t="s">
        <v>9</v>
      </c>
      <c r="G217" t="s">
        <v>3</v>
      </c>
      <c r="H217">
        <v>6</v>
      </c>
      <c r="I217">
        <v>261.37</v>
      </c>
      <c r="J217" t="s">
        <v>4</v>
      </c>
    </row>
    <row r="218" spans="1:10" x14ac:dyDescent="0.35">
      <c r="A218">
        <v>217</v>
      </c>
      <c r="B218">
        <v>20</v>
      </c>
      <c r="C218" t="s">
        <v>0</v>
      </c>
      <c r="D218" s="1">
        <v>45054</v>
      </c>
      <c r="E218" t="s">
        <v>1</v>
      </c>
      <c r="F218" t="s">
        <v>9</v>
      </c>
      <c r="G218" t="s">
        <v>3</v>
      </c>
      <c r="H218">
        <v>2</v>
      </c>
      <c r="I218">
        <v>174.88</v>
      </c>
      <c r="J218" t="s">
        <v>8</v>
      </c>
    </row>
    <row r="219" spans="1:10" x14ac:dyDescent="0.35">
      <c r="A219">
        <v>218</v>
      </c>
      <c r="B219">
        <v>37</v>
      </c>
      <c r="C219" t="s">
        <v>5</v>
      </c>
      <c r="D219" s="1">
        <v>45281</v>
      </c>
      <c r="E219" t="s">
        <v>19</v>
      </c>
      <c r="F219" t="s">
        <v>9</v>
      </c>
      <c r="G219" t="s">
        <v>3</v>
      </c>
      <c r="H219">
        <v>3</v>
      </c>
      <c r="I219">
        <v>324.83</v>
      </c>
      <c r="J219" t="s">
        <v>16</v>
      </c>
    </row>
    <row r="220" spans="1:10" x14ac:dyDescent="0.35">
      <c r="A220">
        <v>219</v>
      </c>
      <c r="B220">
        <v>39</v>
      </c>
      <c r="C220" t="s">
        <v>5</v>
      </c>
      <c r="D220" s="1">
        <v>45055</v>
      </c>
      <c r="E220" t="s">
        <v>1</v>
      </c>
      <c r="F220" t="s">
        <v>7</v>
      </c>
      <c r="G220" t="s">
        <v>3</v>
      </c>
      <c r="H220">
        <v>9</v>
      </c>
      <c r="I220">
        <v>471.97</v>
      </c>
      <c r="J220" t="s">
        <v>8</v>
      </c>
    </row>
    <row r="221" spans="1:10" x14ac:dyDescent="0.35">
      <c r="A221">
        <v>220</v>
      </c>
      <c r="B221">
        <v>80</v>
      </c>
      <c r="C221" t="s">
        <v>0</v>
      </c>
      <c r="D221" s="1">
        <v>45102</v>
      </c>
      <c r="E221" t="s">
        <v>11</v>
      </c>
      <c r="F221" t="s">
        <v>7</v>
      </c>
      <c r="G221" t="s">
        <v>3</v>
      </c>
      <c r="H221">
        <v>0</v>
      </c>
      <c r="I221">
        <v>58.99</v>
      </c>
      <c r="J221" t="s">
        <v>16</v>
      </c>
    </row>
    <row r="222" spans="1:10" x14ac:dyDescent="0.35">
      <c r="A222">
        <v>221</v>
      </c>
      <c r="B222">
        <v>74</v>
      </c>
      <c r="C222" t="s">
        <v>0</v>
      </c>
      <c r="D222" s="1">
        <v>45593</v>
      </c>
      <c r="E222" t="s">
        <v>11</v>
      </c>
      <c r="F222" t="s">
        <v>17</v>
      </c>
      <c r="G222" t="s">
        <v>20</v>
      </c>
      <c r="H222">
        <v>10</v>
      </c>
      <c r="I222">
        <v>281.88</v>
      </c>
      <c r="J222" t="s">
        <v>16</v>
      </c>
    </row>
    <row r="223" spans="1:10" x14ac:dyDescent="0.35">
      <c r="A223">
        <v>222</v>
      </c>
      <c r="B223">
        <v>52</v>
      </c>
      <c r="C223" t="s">
        <v>0</v>
      </c>
      <c r="D223" s="1">
        <v>45421</v>
      </c>
      <c r="E223" t="s">
        <v>6</v>
      </c>
      <c r="F223" t="s">
        <v>17</v>
      </c>
      <c r="G223" t="s">
        <v>15</v>
      </c>
      <c r="H223">
        <v>0</v>
      </c>
      <c r="I223">
        <v>95.88</v>
      </c>
      <c r="J223" t="s">
        <v>10</v>
      </c>
    </row>
    <row r="224" spans="1:10" x14ac:dyDescent="0.35">
      <c r="A224">
        <v>223</v>
      </c>
      <c r="B224">
        <v>27</v>
      </c>
      <c r="C224" t="s">
        <v>0</v>
      </c>
      <c r="D224" s="1">
        <v>45422</v>
      </c>
      <c r="E224" t="s">
        <v>1</v>
      </c>
      <c r="F224" t="s">
        <v>12</v>
      </c>
      <c r="G224" t="s">
        <v>18</v>
      </c>
      <c r="H224">
        <v>5</v>
      </c>
      <c r="I224">
        <v>372.42</v>
      </c>
      <c r="J224" t="s">
        <v>16</v>
      </c>
    </row>
    <row r="225" spans="1:10" x14ac:dyDescent="0.35">
      <c r="A225">
        <v>224</v>
      </c>
      <c r="B225">
        <v>48</v>
      </c>
      <c r="C225" t="s">
        <v>5</v>
      </c>
      <c r="D225" s="1">
        <v>45335</v>
      </c>
      <c r="E225" t="s">
        <v>19</v>
      </c>
      <c r="F225" t="s">
        <v>17</v>
      </c>
      <c r="G225" t="s">
        <v>13</v>
      </c>
      <c r="H225">
        <v>7</v>
      </c>
      <c r="I225">
        <v>78.81</v>
      </c>
      <c r="J225" t="s">
        <v>10</v>
      </c>
    </row>
    <row r="226" spans="1:10" x14ac:dyDescent="0.35">
      <c r="A226">
        <v>225</v>
      </c>
      <c r="B226">
        <v>13</v>
      </c>
      <c r="C226" t="s">
        <v>5</v>
      </c>
      <c r="D226" s="1">
        <v>45180</v>
      </c>
      <c r="E226" t="s">
        <v>19</v>
      </c>
      <c r="F226" t="s">
        <v>17</v>
      </c>
      <c r="G226" t="s">
        <v>20</v>
      </c>
      <c r="H226">
        <v>9</v>
      </c>
      <c r="I226">
        <v>220.7</v>
      </c>
      <c r="J226" t="s">
        <v>8</v>
      </c>
    </row>
    <row r="227" spans="1:10" x14ac:dyDescent="0.35">
      <c r="A227">
        <v>226</v>
      </c>
      <c r="B227">
        <v>41</v>
      </c>
      <c r="C227" t="s">
        <v>5</v>
      </c>
      <c r="D227" s="1">
        <v>45262</v>
      </c>
      <c r="E227" t="s">
        <v>1</v>
      </c>
      <c r="F227" t="s">
        <v>9</v>
      </c>
      <c r="G227" t="s">
        <v>3</v>
      </c>
      <c r="H227">
        <v>7</v>
      </c>
      <c r="I227">
        <v>498.07</v>
      </c>
      <c r="J227" t="s">
        <v>10</v>
      </c>
    </row>
    <row r="228" spans="1:10" x14ac:dyDescent="0.35">
      <c r="A228">
        <v>227</v>
      </c>
      <c r="B228">
        <v>64</v>
      </c>
      <c r="C228" t="s">
        <v>5</v>
      </c>
      <c r="D228" s="1">
        <v>45437</v>
      </c>
      <c r="E228" t="s">
        <v>11</v>
      </c>
      <c r="F228" t="s">
        <v>14</v>
      </c>
      <c r="G228" t="s">
        <v>20</v>
      </c>
      <c r="H228">
        <v>8</v>
      </c>
      <c r="I228">
        <v>239.47</v>
      </c>
      <c r="J228" t="s">
        <v>8</v>
      </c>
    </row>
    <row r="229" spans="1:10" x14ac:dyDescent="0.35">
      <c r="A229">
        <v>228</v>
      </c>
      <c r="B229">
        <v>46</v>
      </c>
      <c r="C229" t="s">
        <v>5</v>
      </c>
      <c r="D229" s="1">
        <v>45147</v>
      </c>
      <c r="E229" t="s">
        <v>11</v>
      </c>
      <c r="F229" t="s">
        <v>9</v>
      </c>
      <c r="G229" t="s">
        <v>3</v>
      </c>
      <c r="H229">
        <v>4</v>
      </c>
      <c r="I229">
        <v>257.55</v>
      </c>
      <c r="J229" t="s">
        <v>10</v>
      </c>
    </row>
    <row r="230" spans="1:10" x14ac:dyDescent="0.35">
      <c r="A230">
        <v>229</v>
      </c>
      <c r="B230">
        <v>2</v>
      </c>
      <c r="C230" t="s">
        <v>5</v>
      </c>
      <c r="D230" s="1">
        <v>45219</v>
      </c>
      <c r="E230" t="s">
        <v>6</v>
      </c>
      <c r="F230" t="s">
        <v>9</v>
      </c>
      <c r="G230" t="s">
        <v>3</v>
      </c>
      <c r="H230">
        <v>2</v>
      </c>
      <c r="I230">
        <v>443.58</v>
      </c>
      <c r="J230" t="s">
        <v>16</v>
      </c>
    </row>
    <row r="231" spans="1:10" x14ac:dyDescent="0.35">
      <c r="A231">
        <v>230</v>
      </c>
      <c r="B231">
        <v>6</v>
      </c>
      <c r="C231" t="s">
        <v>0</v>
      </c>
      <c r="D231" s="1">
        <v>45339</v>
      </c>
      <c r="E231" t="s">
        <v>11</v>
      </c>
      <c r="F231" t="s">
        <v>14</v>
      </c>
      <c r="G231" t="s">
        <v>3</v>
      </c>
      <c r="H231">
        <v>8</v>
      </c>
      <c r="I231">
        <v>113.43</v>
      </c>
      <c r="J231" t="s">
        <v>16</v>
      </c>
    </row>
    <row r="232" spans="1:10" x14ac:dyDescent="0.35">
      <c r="A232">
        <v>231</v>
      </c>
      <c r="B232">
        <v>65</v>
      </c>
      <c r="C232" t="s">
        <v>0</v>
      </c>
      <c r="D232" s="1">
        <v>45002</v>
      </c>
      <c r="E232" t="s">
        <v>19</v>
      </c>
      <c r="F232" t="s">
        <v>12</v>
      </c>
      <c r="G232" t="s">
        <v>3</v>
      </c>
      <c r="H232">
        <v>10</v>
      </c>
      <c r="I232">
        <v>313.3</v>
      </c>
      <c r="J232" t="s">
        <v>8</v>
      </c>
    </row>
    <row r="233" spans="1:10" x14ac:dyDescent="0.35">
      <c r="A233">
        <v>232</v>
      </c>
      <c r="B233">
        <v>48</v>
      </c>
      <c r="C233" t="s">
        <v>0</v>
      </c>
      <c r="D233" s="1">
        <v>45026</v>
      </c>
      <c r="E233" t="s">
        <v>19</v>
      </c>
      <c r="F233" t="s">
        <v>12</v>
      </c>
      <c r="G233" t="s">
        <v>13</v>
      </c>
      <c r="H233">
        <v>3</v>
      </c>
      <c r="I233">
        <v>309.18</v>
      </c>
      <c r="J233" t="s">
        <v>10</v>
      </c>
    </row>
    <row r="234" spans="1:10" x14ac:dyDescent="0.35">
      <c r="A234">
        <v>233</v>
      </c>
      <c r="B234">
        <v>6</v>
      </c>
      <c r="C234" t="s">
        <v>5</v>
      </c>
      <c r="D234" s="1">
        <v>45439</v>
      </c>
      <c r="E234" t="s">
        <v>1</v>
      </c>
      <c r="F234" t="s">
        <v>2</v>
      </c>
      <c r="G234" t="s">
        <v>3</v>
      </c>
      <c r="H234">
        <v>5</v>
      </c>
      <c r="I234">
        <v>405.9</v>
      </c>
      <c r="J234" t="s">
        <v>10</v>
      </c>
    </row>
    <row r="235" spans="1:10" x14ac:dyDescent="0.35">
      <c r="A235">
        <v>234</v>
      </c>
      <c r="B235">
        <v>66</v>
      </c>
      <c r="C235" t="s">
        <v>5</v>
      </c>
      <c r="D235" s="1">
        <v>45079</v>
      </c>
      <c r="E235" t="s">
        <v>19</v>
      </c>
      <c r="F235" t="s">
        <v>9</v>
      </c>
      <c r="G235" t="s">
        <v>3</v>
      </c>
      <c r="H235">
        <v>9</v>
      </c>
      <c r="I235">
        <v>172.89</v>
      </c>
      <c r="J235" t="s">
        <v>10</v>
      </c>
    </row>
    <row r="236" spans="1:10" x14ac:dyDescent="0.35">
      <c r="A236">
        <v>235</v>
      </c>
      <c r="B236">
        <v>39</v>
      </c>
      <c r="C236" t="s">
        <v>0</v>
      </c>
      <c r="D236" s="1">
        <v>45558</v>
      </c>
      <c r="E236" t="s">
        <v>6</v>
      </c>
      <c r="F236" t="s">
        <v>7</v>
      </c>
      <c r="G236" t="s">
        <v>3</v>
      </c>
      <c r="H236">
        <v>9</v>
      </c>
      <c r="I236">
        <v>163.9</v>
      </c>
      <c r="J236" t="s">
        <v>4</v>
      </c>
    </row>
    <row r="237" spans="1:10" x14ac:dyDescent="0.35">
      <c r="A237">
        <v>236</v>
      </c>
      <c r="B237">
        <v>15</v>
      </c>
      <c r="C237" t="s">
        <v>0</v>
      </c>
      <c r="D237" s="1">
        <v>45304</v>
      </c>
      <c r="E237" t="s">
        <v>19</v>
      </c>
      <c r="F237" t="s">
        <v>14</v>
      </c>
      <c r="G237" t="s">
        <v>15</v>
      </c>
      <c r="H237">
        <v>9</v>
      </c>
      <c r="I237">
        <v>247.8</v>
      </c>
      <c r="J237" t="s">
        <v>8</v>
      </c>
    </row>
    <row r="238" spans="1:10" x14ac:dyDescent="0.35">
      <c r="A238">
        <v>237</v>
      </c>
      <c r="B238">
        <v>62</v>
      </c>
      <c r="C238" t="s">
        <v>5</v>
      </c>
      <c r="D238" s="1">
        <v>44979</v>
      </c>
      <c r="E238" t="s">
        <v>6</v>
      </c>
      <c r="F238" t="s">
        <v>9</v>
      </c>
      <c r="G238" t="s">
        <v>3</v>
      </c>
      <c r="H238">
        <v>2</v>
      </c>
      <c r="I238">
        <v>414.4</v>
      </c>
      <c r="J238" t="s">
        <v>8</v>
      </c>
    </row>
    <row r="239" spans="1:10" x14ac:dyDescent="0.35">
      <c r="A239">
        <v>238</v>
      </c>
      <c r="B239">
        <v>15</v>
      </c>
      <c r="C239" t="s">
        <v>5</v>
      </c>
      <c r="D239" s="1">
        <v>44959</v>
      </c>
      <c r="E239" t="s">
        <v>11</v>
      </c>
      <c r="F239" t="s">
        <v>9</v>
      </c>
      <c r="G239" t="s">
        <v>3</v>
      </c>
      <c r="H239">
        <v>7</v>
      </c>
      <c r="I239">
        <v>170.57</v>
      </c>
      <c r="J239" t="s">
        <v>8</v>
      </c>
    </row>
    <row r="240" spans="1:10" x14ac:dyDescent="0.35">
      <c r="A240">
        <v>239</v>
      </c>
      <c r="B240">
        <v>27</v>
      </c>
      <c r="C240" t="s">
        <v>0</v>
      </c>
      <c r="D240" s="1">
        <v>45349</v>
      </c>
      <c r="E240" t="s">
        <v>6</v>
      </c>
      <c r="F240" t="s">
        <v>7</v>
      </c>
      <c r="G240" t="s">
        <v>3</v>
      </c>
      <c r="H240">
        <v>0</v>
      </c>
      <c r="I240">
        <v>358.77</v>
      </c>
      <c r="J240" t="s">
        <v>8</v>
      </c>
    </row>
    <row r="241" spans="1:10" x14ac:dyDescent="0.35">
      <c r="A241">
        <v>240</v>
      </c>
      <c r="B241">
        <v>85</v>
      </c>
      <c r="C241" t="s">
        <v>0</v>
      </c>
      <c r="D241" s="1">
        <v>45501</v>
      </c>
      <c r="E241" t="s">
        <v>6</v>
      </c>
      <c r="F241" t="s">
        <v>14</v>
      </c>
      <c r="G241" t="s">
        <v>18</v>
      </c>
      <c r="H241">
        <v>2</v>
      </c>
      <c r="I241">
        <v>240.64</v>
      </c>
      <c r="J241" t="s">
        <v>16</v>
      </c>
    </row>
    <row r="242" spans="1:10" x14ac:dyDescent="0.35">
      <c r="A242">
        <v>241</v>
      </c>
      <c r="B242">
        <v>83</v>
      </c>
      <c r="C242" t="s">
        <v>0</v>
      </c>
      <c r="D242" s="1">
        <v>45486</v>
      </c>
      <c r="E242" t="s">
        <v>6</v>
      </c>
      <c r="F242" t="s">
        <v>14</v>
      </c>
      <c r="G242" t="s">
        <v>13</v>
      </c>
      <c r="H242">
        <v>3</v>
      </c>
      <c r="I242">
        <v>153.91999999999999</v>
      </c>
      <c r="J242" t="s">
        <v>16</v>
      </c>
    </row>
    <row r="243" spans="1:10" x14ac:dyDescent="0.35">
      <c r="A243">
        <v>242</v>
      </c>
      <c r="B243">
        <v>37</v>
      </c>
      <c r="C243" t="s">
        <v>5</v>
      </c>
      <c r="D243" s="1">
        <v>45157</v>
      </c>
      <c r="E243" t="s">
        <v>6</v>
      </c>
      <c r="F243" t="s">
        <v>14</v>
      </c>
      <c r="G243" t="s">
        <v>18</v>
      </c>
      <c r="H243">
        <v>7</v>
      </c>
      <c r="I243">
        <v>187.43</v>
      </c>
      <c r="J243" t="s">
        <v>16</v>
      </c>
    </row>
    <row r="244" spans="1:10" x14ac:dyDescent="0.35">
      <c r="A244">
        <v>243</v>
      </c>
      <c r="B244">
        <v>74</v>
      </c>
      <c r="C244" t="s">
        <v>0</v>
      </c>
      <c r="D244" s="1">
        <v>45221</v>
      </c>
      <c r="E244" t="s">
        <v>6</v>
      </c>
      <c r="F244" t="s">
        <v>2</v>
      </c>
      <c r="G244" t="s">
        <v>3</v>
      </c>
      <c r="H244">
        <v>5</v>
      </c>
      <c r="I244">
        <v>478.21</v>
      </c>
      <c r="J244" t="s">
        <v>8</v>
      </c>
    </row>
    <row r="245" spans="1:10" x14ac:dyDescent="0.35">
      <c r="A245">
        <v>244</v>
      </c>
      <c r="B245">
        <v>37</v>
      </c>
      <c r="C245" t="s">
        <v>5</v>
      </c>
      <c r="D245" s="1">
        <v>45224</v>
      </c>
      <c r="E245" t="s">
        <v>19</v>
      </c>
      <c r="F245" t="s">
        <v>2</v>
      </c>
      <c r="G245" t="s">
        <v>3</v>
      </c>
      <c r="H245">
        <v>7</v>
      </c>
      <c r="I245">
        <v>334.87</v>
      </c>
      <c r="J245" t="s">
        <v>10</v>
      </c>
    </row>
    <row r="246" spans="1:10" x14ac:dyDescent="0.35">
      <c r="A246">
        <v>245</v>
      </c>
      <c r="B246">
        <v>69</v>
      </c>
      <c r="C246" t="s">
        <v>0</v>
      </c>
      <c r="D246" s="1">
        <v>45146</v>
      </c>
      <c r="E246" t="s">
        <v>19</v>
      </c>
      <c r="F246" t="s">
        <v>17</v>
      </c>
      <c r="G246" t="s">
        <v>13</v>
      </c>
      <c r="H246">
        <v>1</v>
      </c>
      <c r="I246">
        <v>315.52</v>
      </c>
      <c r="J246" t="s">
        <v>8</v>
      </c>
    </row>
    <row r="247" spans="1:10" x14ac:dyDescent="0.35">
      <c r="A247">
        <v>246</v>
      </c>
      <c r="B247">
        <v>68</v>
      </c>
      <c r="C247" t="s">
        <v>5</v>
      </c>
      <c r="D247" s="1">
        <v>45175</v>
      </c>
      <c r="E247" t="s">
        <v>1</v>
      </c>
      <c r="F247" t="s">
        <v>2</v>
      </c>
      <c r="G247" t="s">
        <v>3</v>
      </c>
      <c r="H247">
        <v>0</v>
      </c>
      <c r="I247">
        <v>68.099999999999994</v>
      </c>
      <c r="J247" t="s">
        <v>16</v>
      </c>
    </row>
    <row r="248" spans="1:10" x14ac:dyDescent="0.35">
      <c r="A248">
        <v>247</v>
      </c>
      <c r="B248">
        <v>18</v>
      </c>
      <c r="C248" t="s">
        <v>5</v>
      </c>
      <c r="D248" s="1">
        <v>45410</v>
      </c>
      <c r="E248" t="s">
        <v>1</v>
      </c>
      <c r="F248" t="s">
        <v>2</v>
      </c>
      <c r="G248" t="s">
        <v>3</v>
      </c>
      <c r="H248">
        <v>6</v>
      </c>
      <c r="I248">
        <v>333.39</v>
      </c>
      <c r="J248" t="s">
        <v>10</v>
      </c>
    </row>
    <row r="249" spans="1:10" x14ac:dyDescent="0.35">
      <c r="A249">
        <v>248</v>
      </c>
      <c r="B249">
        <v>26</v>
      </c>
      <c r="C249" t="s">
        <v>0</v>
      </c>
      <c r="D249" s="1">
        <v>45415</v>
      </c>
      <c r="E249" t="s">
        <v>19</v>
      </c>
      <c r="F249" t="s">
        <v>7</v>
      </c>
      <c r="G249" t="s">
        <v>3</v>
      </c>
      <c r="H249">
        <v>4</v>
      </c>
      <c r="I249">
        <v>330.03</v>
      </c>
      <c r="J249" t="s">
        <v>4</v>
      </c>
    </row>
    <row r="250" spans="1:10" x14ac:dyDescent="0.35">
      <c r="A250">
        <v>249</v>
      </c>
      <c r="B250">
        <v>30</v>
      </c>
      <c r="C250" t="s">
        <v>5</v>
      </c>
      <c r="D250" s="1">
        <v>45594</v>
      </c>
      <c r="E250" t="s">
        <v>1</v>
      </c>
      <c r="F250" t="s">
        <v>9</v>
      </c>
      <c r="G250" t="s">
        <v>3</v>
      </c>
      <c r="H250">
        <v>6</v>
      </c>
      <c r="I250">
        <v>443.48</v>
      </c>
      <c r="J250" t="s">
        <v>8</v>
      </c>
    </row>
    <row r="251" spans="1:10" x14ac:dyDescent="0.35">
      <c r="A251">
        <v>250</v>
      </c>
      <c r="B251">
        <v>64</v>
      </c>
      <c r="C251" t="s">
        <v>5</v>
      </c>
      <c r="D251" s="1">
        <v>44964</v>
      </c>
      <c r="E251" t="s">
        <v>19</v>
      </c>
      <c r="F251" t="s">
        <v>12</v>
      </c>
      <c r="G251" t="s">
        <v>15</v>
      </c>
      <c r="H251">
        <v>0</v>
      </c>
      <c r="I251">
        <v>163.22999999999999</v>
      </c>
      <c r="J251" t="s">
        <v>4</v>
      </c>
    </row>
    <row r="252" spans="1:10" x14ac:dyDescent="0.35">
      <c r="A252">
        <v>251</v>
      </c>
      <c r="B252">
        <v>59</v>
      </c>
      <c r="C252" t="s">
        <v>0</v>
      </c>
      <c r="D252" s="1">
        <v>45270</v>
      </c>
      <c r="E252" t="s">
        <v>1</v>
      </c>
      <c r="F252" t="s">
        <v>14</v>
      </c>
      <c r="G252" t="s">
        <v>3</v>
      </c>
      <c r="H252">
        <v>7</v>
      </c>
      <c r="I252">
        <v>150.96</v>
      </c>
      <c r="J252" t="s">
        <v>4</v>
      </c>
    </row>
    <row r="253" spans="1:10" x14ac:dyDescent="0.35">
      <c r="A253">
        <v>252</v>
      </c>
      <c r="B253">
        <v>59</v>
      </c>
      <c r="C253" t="s">
        <v>0</v>
      </c>
      <c r="D253" s="1">
        <v>45265</v>
      </c>
      <c r="E253" t="s">
        <v>1</v>
      </c>
      <c r="F253" t="s">
        <v>17</v>
      </c>
      <c r="G253" t="s">
        <v>15</v>
      </c>
      <c r="H253">
        <v>5</v>
      </c>
      <c r="I253">
        <v>399.57</v>
      </c>
      <c r="J253" t="s">
        <v>8</v>
      </c>
    </row>
    <row r="254" spans="1:10" x14ac:dyDescent="0.35">
      <c r="A254">
        <v>253</v>
      </c>
      <c r="B254">
        <v>82</v>
      </c>
      <c r="C254" t="s">
        <v>0</v>
      </c>
      <c r="D254" s="1">
        <v>45106</v>
      </c>
      <c r="E254" t="s">
        <v>6</v>
      </c>
      <c r="F254" t="s">
        <v>9</v>
      </c>
      <c r="G254" t="s">
        <v>3</v>
      </c>
      <c r="H254">
        <v>8</v>
      </c>
      <c r="I254">
        <v>177.4</v>
      </c>
      <c r="J254" t="s">
        <v>10</v>
      </c>
    </row>
    <row r="255" spans="1:10" x14ac:dyDescent="0.35">
      <c r="A255">
        <v>254</v>
      </c>
      <c r="B255">
        <v>24</v>
      </c>
      <c r="C255" t="s">
        <v>5</v>
      </c>
      <c r="D255" s="1">
        <v>45612</v>
      </c>
      <c r="E255" t="s">
        <v>6</v>
      </c>
      <c r="F255" t="s">
        <v>2</v>
      </c>
      <c r="G255" t="s">
        <v>3</v>
      </c>
      <c r="H255">
        <v>5</v>
      </c>
      <c r="I255">
        <v>469.2</v>
      </c>
      <c r="J255" t="s">
        <v>4</v>
      </c>
    </row>
    <row r="256" spans="1:10" x14ac:dyDescent="0.35">
      <c r="A256">
        <v>255</v>
      </c>
      <c r="B256">
        <v>31</v>
      </c>
      <c r="C256" t="s">
        <v>0</v>
      </c>
      <c r="D256" s="1">
        <v>45194</v>
      </c>
      <c r="E256" t="s">
        <v>19</v>
      </c>
      <c r="F256" t="s">
        <v>12</v>
      </c>
      <c r="G256" t="s">
        <v>18</v>
      </c>
      <c r="H256">
        <v>4</v>
      </c>
      <c r="I256">
        <v>299.58</v>
      </c>
      <c r="J256" t="s">
        <v>4</v>
      </c>
    </row>
    <row r="257" spans="1:10" x14ac:dyDescent="0.35">
      <c r="A257">
        <v>256</v>
      </c>
      <c r="B257">
        <v>47</v>
      </c>
      <c r="C257" t="s">
        <v>5</v>
      </c>
      <c r="D257" s="1">
        <v>45194</v>
      </c>
      <c r="E257" t="s">
        <v>11</v>
      </c>
      <c r="F257" t="s">
        <v>7</v>
      </c>
      <c r="G257" t="s">
        <v>3</v>
      </c>
      <c r="H257">
        <v>10</v>
      </c>
      <c r="I257">
        <v>76.75</v>
      </c>
      <c r="J257" t="s">
        <v>16</v>
      </c>
    </row>
    <row r="258" spans="1:10" x14ac:dyDescent="0.35">
      <c r="A258">
        <v>257</v>
      </c>
      <c r="B258">
        <v>65</v>
      </c>
      <c r="C258" t="s">
        <v>0</v>
      </c>
      <c r="D258" s="1">
        <v>45090</v>
      </c>
      <c r="E258" t="s">
        <v>11</v>
      </c>
      <c r="F258" t="s">
        <v>12</v>
      </c>
      <c r="G258" t="s">
        <v>18</v>
      </c>
      <c r="H258">
        <v>5</v>
      </c>
      <c r="I258">
        <v>315.02</v>
      </c>
      <c r="J258" t="s">
        <v>8</v>
      </c>
    </row>
    <row r="259" spans="1:10" x14ac:dyDescent="0.35">
      <c r="A259">
        <v>258</v>
      </c>
      <c r="B259">
        <v>20</v>
      </c>
      <c r="C259" t="s">
        <v>0</v>
      </c>
      <c r="D259" s="1">
        <v>45063</v>
      </c>
      <c r="E259" t="s">
        <v>19</v>
      </c>
      <c r="F259" t="s">
        <v>12</v>
      </c>
      <c r="G259" t="s">
        <v>20</v>
      </c>
      <c r="H259">
        <v>8</v>
      </c>
      <c r="I259">
        <v>458.14</v>
      </c>
      <c r="J259" t="s">
        <v>8</v>
      </c>
    </row>
    <row r="260" spans="1:10" x14ac:dyDescent="0.35">
      <c r="A260">
        <v>259</v>
      </c>
      <c r="B260">
        <v>77</v>
      </c>
      <c r="C260" t="s">
        <v>5</v>
      </c>
      <c r="D260" s="1">
        <v>45180</v>
      </c>
      <c r="E260" t="s">
        <v>6</v>
      </c>
      <c r="F260" t="s">
        <v>7</v>
      </c>
      <c r="G260" t="s">
        <v>3</v>
      </c>
      <c r="H260">
        <v>8</v>
      </c>
      <c r="I260">
        <v>357.81</v>
      </c>
      <c r="J260" t="s">
        <v>4</v>
      </c>
    </row>
    <row r="261" spans="1:10" x14ac:dyDescent="0.35">
      <c r="A261">
        <v>260</v>
      </c>
      <c r="B261">
        <v>8</v>
      </c>
      <c r="C261" t="s">
        <v>5</v>
      </c>
      <c r="D261" s="1">
        <v>45504</v>
      </c>
      <c r="E261" t="s">
        <v>1</v>
      </c>
      <c r="F261" t="s">
        <v>2</v>
      </c>
      <c r="G261" t="s">
        <v>3</v>
      </c>
      <c r="H261">
        <v>2</v>
      </c>
      <c r="I261">
        <v>177.5</v>
      </c>
      <c r="J261" t="s">
        <v>10</v>
      </c>
    </row>
    <row r="262" spans="1:10" x14ac:dyDescent="0.35">
      <c r="A262">
        <v>261</v>
      </c>
      <c r="B262">
        <v>27</v>
      </c>
      <c r="C262" t="s">
        <v>0</v>
      </c>
      <c r="D262" s="1">
        <v>45046</v>
      </c>
      <c r="E262" t="s">
        <v>11</v>
      </c>
      <c r="F262" t="s">
        <v>7</v>
      </c>
      <c r="G262" t="s">
        <v>3</v>
      </c>
      <c r="H262">
        <v>8</v>
      </c>
      <c r="I262">
        <v>233.83</v>
      </c>
      <c r="J262" t="s">
        <v>4</v>
      </c>
    </row>
    <row r="263" spans="1:10" x14ac:dyDescent="0.35">
      <c r="A263">
        <v>262</v>
      </c>
      <c r="B263">
        <v>66</v>
      </c>
      <c r="C263" t="s">
        <v>0</v>
      </c>
      <c r="D263" s="1">
        <v>45391</v>
      </c>
      <c r="E263" t="s">
        <v>6</v>
      </c>
      <c r="F263" t="s">
        <v>17</v>
      </c>
      <c r="G263" t="s">
        <v>3</v>
      </c>
      <c r="H263">
        <v>0</v>
      </c>
      <c r="I263">
        <v>288.22000000000003</v>
      </c>
      <c r="J263" t="s">
        <v>16</v>
      </c>
    </row>
    <row r="264" spans="1:10" x14ac:dyDescent="0.35">
      <c r="A264">
        <v>263</v>
      </c>
      <c r="B264">
        <v>33</v>
      </c>
      <c r="C264" t="s">
        <v>5</v>
      </c>
      <c r="D264" s="1">
        <v>44949</v>
      </c>
      <c r="E264" t="s">
        <v>1</v>
      </c>
      <c r="F264" t="s">
        <v>12</v>
      </c>
      <c r="G264" t="s">
        <v>3</v>
      </c>
      <c r="H264">
        <v>1</v>
      </c>
      <c r="I264">
        <v>41.74</v>
      </c>
      <c r="J264" t="s">
        <v>16</v>
      </c>
    </row>
    <row r="265" spans="1:10" x14ac:dyDescent="0.35">
      <c r="A265">
        <v>264</v>
      </c>
      <c r="B265">
        <v>70</v>
      </c>
      <c r="C265" t="s">
        <v>5</v>
      </c>
      <c r="D265" s="1">
        <v>45644</v>
      </c>
      <c r="E265" t="s">
        <v>11</v>
      </c>
      <c r="F265" t="s">
        <v>2</v>
      </c>
      <c r="G265" t="s">
        <v>3</v>
      </c>
      <c r="H265">
        <v>7</v>
      </c>
      <c r="I265">
        <v>35.229999999999997</v>
      </c>
      <c r="J265" t="s">
        <v>10</v>
      </c>
    </row>
    <row r="266" spans="1:10" x14ac:dyDescent="0.35">
      <c r="A266">
        <v>265</v>
      </c>
      <c r="B266">
        <v>83</v>
      </c>
      <c r="C266" t="s">
        <v>0</v>
      </c>
      <c r="D266" s="1">
        <v>45111</v>
      </c>
      <c r="E266" t="s">
        <v>19</v>
      </c>
      <c r="F266" t="s">
        <v>17</v>
      </c>
      <c r="G266" t="s">
        <v>20</v>
      </c>
      <c r="H266">
        <v>7</v>
      </c>
      <c r="I266">
        <v>437.42</v>
      </c>
      <c r="J266" t="s">
        <v>10</v>
      </c>
    </row>
    <row r="267" spans="1:10" x14ac:dyDescent="0.35">
      <c r="A267">
        <v>266</v>
      </c>
      <c r="B267">
        <v>85</v>
      </c>
      <c r="C267" t="s">
        <v>5</v>
      </c>
      <c r="D267" s="1">
        <v>45311</v>
      </c>
      <c r="E267" t="s">
        <v>19</v>
      </c>
      <c r="F267" t="s">
        <v>2</v>
      </c>
      <c r="G267" t="s">
        <v>3</v>
      </c>
      <c r="H267">
        <v>1</v>
      </c>
      <c r="I267">
        <v>105.67</v>
      </c>
      <c r="J267" t="s">
        <v>10</v>
      </c>
    </row>
    <row r="268" spans="1:10" x14ac:dyDescent="0.35">
      <c r="A268">
        <v>267</v>
      </c>
      <c r="B268">
        <v>29</v>
      </c>
      <c r="C268" t="s">
        <v>5</v>
      </c>
      <c r="D268" s="1">
        <v>45468</v>
      </c>
      <c r="E268" t="s">
        <v>11</v>
      </c>
      <c r="F268" t="s">
        <v>17</v>
      </c>
      <c r="G268" t="s">
        <v>18</v>
      </c>
      <c r="H268">
        <v>7</v>
      </c>
      <c r="I268">
        <v>343.28</v>
      </c>
      <c r="J268" t="s">
        <v>10</v>
      </c>
    </row>
    <row r="269" spans="1:10" x14ac:dyDescent="0.35">
      <c r="A269">
        <v>268</v>
      </c>
      <c r="B269">
        <v>30</v>
      </c>
      <c r="C269" t="s">
        <v>5</v>
      </c>
      <c r="D269" s="1">
        <v>45471</v>
      </c>
      <c r="E269" t="s">
        <v>6</v>
      </c>
      <c r="F269" t="s">
        <v>12</v>
      </c>
      <c r="G269" t="s">
        <v>18</v>
      </c>
      <c r="H269">
        <v>2</v>
      </c>
      <c r="I269">
        <v>152.31</v>
      </c>
      <c r="J269" t="s">
        <v>4</v>
      </c>
    </row>
    <row r="270" spans="1:10" x14ac:dyDescent="0.35">
      <c r="A270">
        <v>269</v>
      </c>
      <c r="B270">
        <v>54</v>
      </c>
      <c r="C270" t="s">
        <v>5</v>
      </c>
      <c r="D270" s="1">
        <v>44959</v>
      </c>
      <c r="E270" t="s">
        <v>1</v>
      </c>
      <c r="F270" t="s">
        <v>7</v>
      </c>
      <c r="G270" t="s">
        <v>3</v>
      </c>
      <c r="H270">
        <v>3</v>
      </c>
      <c r="I270">
        <v>52.3</v>
      </c>
      <c r="J270" t="s">
        <v>4</v>
      </c>
    </row>
    <row r="271" spans="1:10" x14ac:dyDescent="0.35">
      <c r="A271">
        <v>270</v>
      </c>
      <c r="B271">
        <v>7</v>
      </c>
      <c r="C271" t="s">
        <v>5</v>
      </c>
      <c r="D271" s="1">
        <v>45384</v>
      </c>
      <c r="E271" t="s">
        <v>11</v>
      </c>
      <c r="F271" t="s">
        <v>9</v>
      </c>
      <c r="G271" t="s">
        <v>3</v>
      </c>
      <c r="H271">
        <v>6</v>
      </c>
      <c r="I271">
        <v>230.7</v>
      </c>
      <c r="J271" t="s">
        <v>8</v>
      </c>
    </row>
    <row r="272" spans="1:10" x14ac:dyDescent="0.35">
      <c r="A272">
        <v>271</v>
      </c>
      <c r="B272">
        <v>65</v>
      </c>
      <c r="C272" t="s">
        <v>0</v>
      </c>
      <c r="D272" s="1">
        <v>44984</v>
      </c>
      <c r="E272" t="s">
        <v>1</v>
      </c>
      <c r="F272" t="s">
        <v>17</v>
      </c>
      <c r="G272" t="s">
        <v>3</v>
      </c>
      <c r="H272">
        <v>5</v>
      </c>
      <c r="I272">
        <v>297.19</v>
      </c>
      <c r="J272" t="s">
        <v>16</v>
      </c>
    </row>
    <row r="273" spans="1:10" x14ac:dyDescent="0.35">
      <c r="A273">
        <v>272</v>
      </c>
      <c r="B273">
        <v>19</v>
      </c>
      <c r="C273" t="s">
        <v>5</v>
      </c>
      <c r="D273" s="1">
        <v>45169</v>
      </c>
      <c r="E273" t="s">
        <v>6</v>
      </c>
      <c r="F273" t="s">
        <v>14</v>
      </c>
      <c r="G273" t="s">
        <v>18</v>
      </c>
      <c r="H273">
        <v>4</v>
      </c>
      <c r="I273">
        <v>49.26</v>
      </c>
      <c r="J273" t="s">
        <v>8</v>
      </c>
    </row>
    <row r="274" spans="1:10" x14ac:dyDescent="0.35">
      <c r="A274">
        <v>273</v>
      </c>
      <c r="B274">
        <v>55</v>
      </c>
      <c r="C274" t="s">
        <v>0</v>
      </c>
      <c r="D274" s="1">
        <v>45568</v>
      </c>
      <c r="E274" t="s">
        <v>11</v>
      </c>
      <c r="F274" t="s">
        <v>7</v>
      </c>
      <c r="G274" t="s">
        <v>3</v>
      </c>
      <c r="H274">
        <v>5</v>
      </c>
      <c r="I274">
        <v>471.96</v>
      </c>
      <c r="J274" t="s">
        <v>10</v>
      </c>
    </row>
    <row r="275" spans="1:10" x14ac:dyDescent="0.35">
      <c r="A275">
        <v>274</v>
      </c>
      <c r="B275">
        <v>54</v>
      </c>
      <c r="C275" t="s">
        <v>0</v>
      </c>
      <c r="D275" s="1">
        <v>45464</v>
      </c>
      <c r="E275" t="s">
        <v>1</v>
      </c>
      <c r="F275" t="s">
        <v>14</v>
      </c>
      <c r="G275" t="s">
        <v>18</v>
      </c>
      <c r="H275">
        <v>6</v>
      </c>
      <c r="I275">
        <v>108.26</v>
      </c>
      <c r="J275" t="s">
        <v>10</v>
      </c>
    </row>
    <row r="276" spans="1:10" x14ac:dyDescent="0.35">
      <c r="A276">
        <v>275</v>
      </c>
      <c r="B276">
        <v>39</v>
      </c>
      <c r="C276" t="s">
        <v>5</v>
      </c>
      <c r="D276" s="1">
        <v>45173</v>
      </c>
      <c r="E276" t="s">
        <v>6</v>
      </c>
      <c r="F276" t="s">
        <v>17</v>
      </c>
      <c r="G276" t="s">
        <v>15</v>
      </c>
      <c r="H276">
        <v>8</v>
      </c>
      <c r="I276">
        <v>218.09</v>
      </c>
      <c r="J276" t="s">
        <v>10</v>
      </c>
    </row>
    <row r="277" spans="1:10" x14ac:dyDescent="0.35">
      <c r="A277">
        <v>276</v>
      </c>
      <c r="B277">
        <v>18</v>
      </c>
      <c r="C277" t="s">
        <v>0</v>
      </c>
      <c r="D277" s="1">
        <v>45497</v>
      </c>
      <c r="E277" t="s">
        <v>1</v>
      </c>
      <c r="F277" t="s">
        <v>9</v>
      </c>
      <c r="G277" t="s">
        <v>3</v>
      </c>
      <c r="H277">
        <v>4</v>
      </c>
      <c r="I277">
        <v>117.6</v>
      </c>
      <c r="J277" t="s">
        <v>4</v>
      </c>
    </row>
    <row r="278" spans="1:10" x14ac:dyDescent="0.35">
      <c r="A278">
        <v>277</v>
      </c>
      <c r="B278">
        <v>12</v>
      </c>
      <c r="C278" t="s">
        <v>5</v>
      </c>
      <c r="D278" s="1">
        <v>45387</v>
      </c>
      <c r="E278" t="s">
        <v>11</v>
      </c>
      <c r="F278" t="s">
        <v>14</v>
      </c>
      <c r="G278" t="s">
        <v>18</v>
      </c>
      <c r="H278">
        <v>6</v>
      </c>
      <c r="I278">
        <v>343.36</v>
      </c>
      <c r="J278" t="s">
        <v>4</v>
      </c>
    </row>
    <row r="279" spans="1:10" x14ac:dyDescent="0.35">
      <c r="A279">
        <v>278</v>
      </c>
      <c r="B279">
        <v>76</v>
      </c>
      <c r="C279" t="s">
        <v>5</v>
      </c>
      <c r="D279" s="1">
        <v>45001</v>
      </c>
      <c r="E279" t="s">
        <v>6</v>
      </c>
      <c r="F279" t="s">
        <v>17</v>
      </c>
      <c r="G279" t="s">
        <v>13</v>
      </c>
      <c r="H279">
        <v>5</v>
      </c>
      <c r="I279">
        <v>165.53</v>
      </c>
      <c r="J279" t="s">
        <v>4</v>
      </c>
    </row>
    <row r="280" spans="1:10" x14ac:dyDescent="0.35">
      <c r="A280">
        <v>279</v>
      </c>
      <c r="B280">
        <v>16</v>
      </c>
      <c r="C280" t="s">
        <v>0</v>
      </c>
      <c r="D280" s="1">
        <v>45143</v>
      </c>
      <c r="E280" t="s">
        <v>1</v>
      </c>
      <c r="F280" t="s">
        <v>17</v>
      </c>
      <c r="G280" t="s">
        <v>3</v>
      </c>
      <c r="H280">
        <v>3</v>
      </c>
      <c r="I280">
        <v>210.38</v>
      </c>
      <c r="J280" t="s">
        <v>8</v>
      </c>
    </row>
    <row r="281" spans="1:10" x14ac:dyDescent="0.35">
      <c r="A281">
        <v>280</v>
      </c>
      <c r="B281">
        <v>37</v>
      </c>
      <c r="C281" t="s">
        <v>0</v>
      </c>
      <c r="D281" s="1">
        <v>45492</v>
      </c>
      <c r="E281" t="s">
        <v>6</v>
      </c>
      <c r="F281" t="s">
        <v>14</v>
      </c>
      <c r="G281" t="s">
        <v>3</v>
      </c>
      <c r="H281">
        <v>10</v>
      </c>
      <c r="I281">
        <v>192.44</v>
      </c>
      <c r="J281" t="s">
        <v>16</v>
      </c>
    </row>
    <row r="282" spans="1:10" x14ac:dyDescent="0.35">
      <c r="A282">
        <v>281</v>
      </c>
      <c r="B282">
        <v>64</v>
      </c>
      <c r="C282" t="s">
        <v>0</v>
      </c>
      <c r="D282" s="1">
        <v>45295</v>
      </c>
      <c r="E282" t="s">
        <v>11</v>
      </c>
      <c r="F282" t="s">
        <v>9</v>
      </c>
      <c r="G282" t="s">
        <v>3</v>
      </c>
      <c r="H282">
        <v>7</v>
      </c>
      <c r="I282">
        <v>385.58</v>
      </c>
      <c r="J282" t="s">
        <v>16</v>
      </c>
    </row>
    <row r="283" spans="1:10" x14ac:dyDescent="0.35">
      <c r="A283">
        <v>282</v>
      </c>
      <c r="B283">
        <v>41</v>
      </c>
      <c r="C283" t="s">
        <v>0</v>
      </c>
      <c r="D283" s="1">
        <v>45135</v>
      </c>
      <c r="E283" t="s">
        <v>11</v>
      </c>
      <c r="F283" t="s">
        <v>14</v>
      </c>
      <c r="G283" t="s">
        <v>3</v>
      </c>
      <c r="H283">
        <v>3</v>
      </c>
      <c r="I283">
        <v>375.8</v>
      </c>
      <c r="J283" t="s">
        <v>4</v>
      </c>
    </row>
    <row r="284" spans="1:10" x14ac:dyDescent="0.35">
      <c r="A284">
        <v>283</v>
      </c>
      <c r="B284">
        <v>75</v>
      </c>
      <c r="C284" t="s">
        <v>0</v>
      </c>
      <c r="D284" s="1">
        <v>45194</v>
      </c>
      <c r="E284" t="s">
        <v>19</v>
      </c>
      <c r="F284" t="s">
        <v>9</v>
      </c>
      <c r="G284" t="s">
        <v>3</v>
      </c>
      <c r="H284">
        <v>2</v>
      </c>
      <c r="I284">
        <v>114.17</v>
      </c>
      <c r="J284" t="s">
        <v>8</v>
      </c>
    </row>
    <row r="285" spans="1:10" x14ac:dyDescent="0.35">
      <c r="A285">
        <v>284</v>
      </c>
      <c r="B285">
        <v>32</v>
      </c>
      <c r="C285" t="s">
        <v>0</v>
      </c>
      <c r="D285" s="1">
        <v>45315</v>
      </c>
      <c r="E285" t="s">
        <v>19</v>
      </c>
      <c r="F285" t="s">
        <v>9</v>
      </c>
      <c r="G285" t="s">
        <v>3</v>
      </c>
      <c r="H285">
        <v>4</v>
      </c>
      <c r="I285">
        <v>386.41</v>
      </c>
      <c r="J285" t="s">
        <v>10</v>
      </c>
    </row>
    <row r="286" spans="1:10" x14ac:dyDescent="0.35">
      <c r="A286">
        <v>285</v>
      </c>
      <c r="B286">
        <v>63</v>
      </c>
      <c r="C286" t="s">
        <v>0</v>
      </c>
      <c r="D286" s="1">
        <v>45584</v>
      </c>
      <c r="E286" t="s">
        <v>1</v>
      </c>
      <c r="F286" t="s">
        <v>7</v>
      </c>
      <c r="G286" t="s">
        <v>3</v>
      </c>
      <c r="H286">
        <v>5</v>
      </c>
      <c r="I286">
        <v>101.25</v>
      </c>
      <c r="J286" t="s">
        <v>10</v>
      </c>
    </row>
    <row r="287" spans="1:10" x14ac:dyDescent="0.35">
      <c r="A287">
        <v>286</v>
      </c>
      <c r="B287">
        <v>83</v>
      </c>
      <c r="C287" t="s">
        <v>5</v>
      </c>
      <c r="D287" s="1">
        <v>45115</v>
      </c>
      <c r="E287" t="s">
        <v>11</v>
      </c>
      <c r="F287" t="s">
        <v>9</v>
      </c>
      <c r="G287" t="s">
        <v>3</v>
      </c>
      <c r="H287">
        <v>1</v>
      </c>
      <c r="I287">
        <v>473.69</v>
      </c>
      <c r="J287" t="s">
        <v>4</v>
      </c>
    </row>
    <row r="288" spans="1:10" x14ac:dyDescent="0.35">
      <c r="A288">
        <v>287</v>
      </c>
      <c r="B288">
        <v>18</v>
      </c>
      <c r="C288" t="s">
        <v>5</v>
      </c>
      <c r="D288" s="1">
        <v>44933</v>
      </c>
      <c r="E288" t="s">
        <v>11</v>
      </c>
      <c r="F288" t="s">
        <v>12</v>
      </c>
      <c r="G288" t="s">
        <v>13</v>
      </c>
      <c r="H288">
        <v>0</v>
      </c>
      <c r="I288">
        <v>124.99</v>
      </c>
      <c r="J288" t="s">
        <v>10</v>
      </c>
    </row>
    <row r="289" spans="1:10" x14ac:dyDescent="0.35">
      <c r="A289">
        <v>288</v>
      </c>
      <c r="B289">
        <v>80</v>
      </c>
      <c r="C289" t="s">
        <v>0</v>
      </c>
      <c r="D289" s="1">
        <v>45309</v>
      </c>
      <c r="E289" t="s">
        <v>6</v>
      </c>
      <c r="F289" t="s">
        <v>2</v>
      </c>
      <c r="G289" t="s">
        <v>3</v>
      </c>
      <c r="H289">
        <v>0</v>
      </c>
      <c r="I289">
        <v>23.17</v>
      </c>
      <c r="J289" t="s">
        <v>10</v>
      </c>
    </row>
    <row r="290" spans="1:10" x14ac:dyDescent="0.35">
      <c r="A290">
        <v>289</v>
      </c>
      <c r="B290">
        <v>68</v>
      </c>
      <c r="C290" t="s">
        <v>0</v>
      </c>
      <c r="D290" s="1">
        <v>44939</v>
      </c>
      <c r="E290" t="s">
        <v>19</v>
      </c>
      <c r="F290" t="s">
        <v>2</v>
      </c>
      <c r="G290" t="s">
        <v>3</v>
      </c>
      <c r="H290">
        <v>0</v>
      </c>
      <c r="I290">
        <v>261.06</v>
      </c>
      <c r="J290" t="s">
        <v>10</v>
      </c>
    </row>
    <row r="291" spans="1:10" x14ac:dyDescent="0.35">
      <c r="A291">
        <v>290</v>
      </c>
      <c r="B291">
        <v>13</v>
      </c>
      <c r="C291" t="s">
        <v>5</v>
      </c>
      <c r="D291" s="1">
        <v>45110</v>
      </c>
      <c r="E291" t="s">
        <v>1</v>
      </c>
      <c r="F291" t="s">
        <v>2</v>
      </c>
      <c r="G291" t="s">
        <v>3</v>
      </c>
      <c r="H291">
        <v>3</v>
      </c>
      <c r="I291">
        <v>317.49</v>
      </c>
      <c r="J291" t="s">
        <v>16</v>
      </c>
    </row>
    <row r="292" spans="1:10" x14ac:dyDescent="0.35">
      <c r="A292">
        <v>291</v>
      </c>
      <c r="B292">
        <v>51</v>
      </c>
      <c r="C292" t="s">
        <v>5</v>
      </c>
      <c r="D292" s="1">
        <v>45289</v>
      </c>
      <c r="E292" t="s">
        <v>19</v>
      </c>
      <c r="F292" t="s">
        <v>14</v>
      </c>
      <c r="G292" t="s">
        <v>20</v>
      </c>
      <c r="H292">
        <v>7</v>
      </c>
      <c r="I292">
        <v>291.2</v>
      </c>
      <c r="J292" t="s">
        <v>8</v>
      </c>
    </row>
    <row r="293" spans="1:10" x14ac:dyDescent="0.35">
      <c r="A293">
        <v>292</v>
      </c>
      <c r="B293">
        <v>11</v>
      </c>
      <c r="C293" t="s">
        <v>5</v>
      </c>
      <c r="D293" s="1">
        <v>45234</v>
      </c>
      <c r="E293" t="s">
        <v>11</v>
      </c>
      <c r="F293" t="s">
        <v>7</v>
      </c>
      <c r="G293" t="s">
        <v>3</v>
      </c>
      <c r="H293">
        <v>6</v>
      </c>
      <c r="I293">
        <v>202.05</v>
      </c>
      <c r="J293" t="s">
        <v>10</v>
      </c>
    </row>
    <row r="294" spans="1:10" x14ac:dyDescent="0.35">
      <c r="A294">
        <v>293</v>
      </c>
      <c r="B294">
        <v>2</v>
      </c>
      <c r="C294" t="s">
        <v>5</v>
      </c>
      <c r="D294" s="1">
        <v>44984</v>
      </c>
      <c r="E294" t="s">
        <v>11</v>
      </c>
      <c r="F294" t="s">
        <v>7</v>
      </c>
      <c r="G294" t="s">
        <v>3</v>
      </c>
      <c r="H294">
        <v>7</v>
      </c>
      <c r="I294">
        <v>425.76</v>
      </c>
      <c r="J294" t="s">
        <v>16</v>
      </c>
    </row>
    <row r="295" spans="1:10" x14ac:dyDescent="0.35">
      <c r="A295">
        <v>294</v>
      </c>
      <c r="B295">
        <v>68</v>
      </c>
      <c r="C295" t="s">
        <v>5</v>
      </c>
      <c r="D295" s="1">
        <v>45506</v>
      </c>
      <c r="E295" t="s">
        <v>1</v>
      </c>
      <c r="F295" t="s">
        <v>2</v>
      </c>
      <c r="G295" t="s">
        <v>3</v>
      </c>
      <c r="H295">
        <v>3</v>
      </c>
      <c r="I295">
        <v>452.61</v>
      </c>
      <c r="J295" t="s">
        <v>10</v>
      </c>
    </row>
    <row r="296" spans="1:10" x14ac:dyDescent="0.35">
      <c r="A296">
        <v>295</v>
      </c>
      <c r="B296">
        <v>10</v>
      </c>
      <c r="C296" t="s">
        <v>0</v>
      </c>
      <c r="D296" s="1">
        <v>45204</v>
      </c>
      <c r="E296" t="s">
        <v>11</v>
      </c>
      <c r="F296" t="s">
        <v>2</v>
      </c>
      <c r="G296" t="s">
        <v>3</v>
      </c>
      <c r="H296">
        <v>2</v>
      </c>
      <c r="I296">
        <v>465.81</v>
      </c>
      <c r="J296" t="s">
        <v>16</v>
      </c>
    </row>
    <row r="297" spans="1:10" x14ac:dyDescent="0.35">
      <c r="A297">
        <v>296</v>
      </c>
      <c r="B297">
        <v>76</v>
      </c>
      <c r="C297" t="s">
        <v>5</v>
      </c>
      <c r="D297" s="1">
        <v>44943</v>
      </c>
      <c r="E297" t="s">
        <v>6</v>
      </c>
      <c r="F297" t="s">
        <v>17</v>
      </c>
      <c r="G297" t="s">
        <v>15</v>
      </c>
      <c r="H297">
        <v>4</v>
      </c>
      <c r="I297">
        <v>97.98</v>
      </c>
      <c r="J297" t="s">
        <v>8</v>
      </c>
    </row>
    <row r="298" spans="1:10" x14ac:dyDescent="0.35">
      <c r="A298">
        <v>297</v>
      </c>
      <c r="B298">
        <v>70</v>
      </c>
      <c r="C298" t="s">
        <v>0</v>
      </c>
      <c r="D298" s="1">
        <v>45507</v>
      </c>
      <c r="E298" t="s">
        <v>6</v>
      </c>
      <c r="F298" t="s">
        <v>12</v>
      </c>
      <c r="G298" t="s">
        <v>13</v>
      </c>
      <c r="H298">
        <v>1</v>
      </c>
      <c r="I298">
        <v>260.38</v>
      </c>
      <c r="J298" t="s">
        <v>16</v>
      </c>
    </row>
    <row r="299" spans="1:10" x14ac:dyDescent="0.35">
      <c r="A299">
        <v>298</v>
      </c>
      <c r="B299">
        <v>56</v>
      </c>
      <c r="C299" t="s">
        <v>5</v>
      </c>
      <c r="D299" s="1">
        <v>44981</v>
      </c>
      <c r="E299" t="s">
        <v>11</v>
      </c>
      <c r="F299" t="s">
        <v>2</v>
      </c>
      <c r="G299" t="s">
        <v>3</v>
      </c>
      <c r="H299">
        <v>5</v>
      </c>
      <c r="I299">
        <v>310.48</v>
      </c>
      <c r="J299" t="s">
        <v>10</v>
      </c>
    </row>
    <row r="300" spans="1:10" x14ac:dyDescent="0.35">
      <c r="A300">
        <v>299</v>
      </c>
      <c r="B300">
        <v>82</v>
      </c>
      <c r="C300" t="s">
        <v>0</v>
      </c>
      <c r="D300" s="1">
        <v>45261</v>
      </c>
      <c r="E300" t="s">
        <v>6</v>
      </c>
      <c r="F300" t="s">
        <v>2</v>
      </c>
      <c r="G300" t="s">
        <v>3</v>
      </c>
      <c r="H300">
        <v>7</v>
      </c>
      <c r="I300">
        <v>129.51</v>
      </c>
      <c r="J300" t="s">
        <v>10</v>
      </c>
    </row>
    <row r="301" spans="1:10" x14ac:dyDescent="0.35">
      <c r="A301">
        <v>300</v>
      </c>
      <c r="B301">
        <v>75</v>
      </c>
      <c r="C301" t="s">
        <v>0</v>
      </c>
      <c r="D301" s="1">
        <v>45369</v>
      </c>
      <c r="E301" t="s">
        <v>11</v>
      </c>
      <c r="F301" t="s">
        <v>17</v>
      </c>
      <c r="G301" t="s">
        <v>3</v>
      </c>
      <c r="H301">
        <v>4</v>
      </c>
      <c r="I301">
        <v>403.07</v>
      </c>
      <c r="J301" t="s">
        <v>4</v>
      </c>
    </row>
    <row r="302" spans="1:10" x14ac:dyDescent="0.35">
      <c r="A302">
        <v>301</v>
      </c>
      <c r="B302">
        <v>20</v>
      </c>
      <c r="C302" t="s">
        <v>0</v>
      </c>
      <c r="D302" s="1">
        <v>45011</v>
      </c>
      <c r="E302" t="s">
        <v>1</v>
      </c>
      <c r="F302" t="s">
        <v>14</v>
      </c>
      <c r="G302" t="s">
        <v>20</v>
      </c>
      <c r="H302">
        <v>5</v>
      </c>
      <c r="I302">
        <v>193.14</v>
      </c>
      <c r="J302" t="s">
        <v>4</v>
      </c>
    </row>
    <row r="303" spans="1:10" x14ac:dyDescent="0.35">
      <c r="A303">
        <v>302</v>
      </c>
      <c r="B303">
        <v>57</v>
      </c>
      <c r="C303" t="s">
        <v>0</v>
      </c>
      <c r="D303" s="1">
        <v>44932</v>
      </c>
      <c r="E303" t="s">
        <v>19</v>
      </c>
      <c r="F303" t="s">
        <v>14</v>
      </c>
      <c r="G303" t="s">
        <v>15</v>
      </c>
      <c r="H303">
        <v>2</v>
      </c>
      <c r="I303">
        <v>61.9</v>
      </c>
      <c r="J303" t="s">
        <v>10</v>
      </c>
    </row>
    <row r="304" spans="1:10" x14ac:dyDescent="0.35">
      <c r="A304">
        <v>303</v>
      </c>
      <c r="B304">
        <v>72</v>
      </c>
      <c r="C304" t="s">
        <v>0</v>
      </c>
      <c r="D304" s="1">
        <v>45386</v>
      </c>
      <c r="E304" t="s">
        <v>11</v>
      </c>
      <c r="F304" t="s">
        <v>9</v>
      </c>
      <c r="G304" t="s">
        <v>3</v>
      </c>
      <c r="H304">
        <v>0</v>
      </c>
      <c r="I304">
        <v>63.02</v>
      </c>
      <c r="J304" t="s">
        <v>4</v>
      </c>
    </row>
    <row r="305" spans="1:10" x14ac:dyDescent="0.35">
      <c r="A305">
        <v>304</v>
      </c>
      <c r="B305">
        <v>42</v>
      </c>
      <c r="C305" t="s">
        <v>0</v>
      </c>
      <c r="D305" s="1">
        <v>45538</v>
      </c>
      <c r="E305" t="s">
        <v>11</v>
      </c>
      <c r="F305" t="s">
        <v>9</v>
      </c>
      <c r="G305" t="s">
        <v>3</v>
      </c>
      <c r="H305">
        <v>4</v>
      </c>
      <c r="I305">
        <v>218.63</v>
      </c>
      <c r="J305" t="s">
        <v>4</v>
      </c>
    </row>
    <row r="306" spans="1:10" x14ac:dyDescent="0.35">
      <c r="A306">
        <v>305</v>
      </c>
      <c r="B306">
        <v>74</v>
      </c>
      <c r="C306" t="s">
        <v>5</v>
      </c>
      <c r="D306" s="1">
        <v>45499</v>
      </c>
      <c r="E306" t="s">
        <v>6</v>
      </c>
      <c r="F306" t="s">
        <v>17</v>
      </c>
      <c r="G306" t="s">
        <v>13</v>
      </c>
      <c r="H306">
        <v>2</v>
      </c>
      <c r="I306">
        <v>149.08000000000001</v>
      </c>
      <c r="J306" t="s">
        <v>16</v>
      </c>
    </row>
    <row r="307" spans="1:10" x14ac:dyDescent="0.35">
      <c r="A307">
        <v>306</v>
      </c>
      <c r="B307">
        <v>9</v>
      </c>
      <c r="C307" t="s">
        <v>5</v>
      </c>
      <c r="D307" s="1">
        <v>45431</v>
      </c>
      <c r="E307" t="s">
        <v>6</v>
      </c>
      <c r="F307" t="s">
        <v>17</v>
      </c>
      <c r="G307" t="s">
        <v>18</v>
      </c>
      <c r="H307">
        <v>6</v>
      </c>
      <c r="I307">
        <v>163.88</v>
      </c>
      <c r="J307" t="s">
        <v>4</v>
      </c>
    </row>
    <row r="308" spans="1:10" x14ac:dyDescent="0.35">
      <c r="A308">
        <v>307</v>
      </c>
      <c r="B308">
        <v>32</v>
      </c>
      <c r="C308" t="s">
        <v>0</v>
      </c>
      <c r="D308" s="1">
        <v>45296</v>
      </c>
      <c r="E308" t="s">
        <v>1</v>
      </c>
      <c r="F308" t="s">
        <v>14</v>
      </c>
      <c r="G308" t="s">
        <v>20</v>
      </c>
      <c r="H308">
        <v>1</v>
      </c>
      <c r="I308">
        <v>85.03</v>
      </c>
      <c r="J308" t="s">
        <v>4</v>
      </c>
    </row>
    <row r="309" spans="1:10" x14ac:dyDescent="0.35">
      <c r="A309">
        <v>308</v>
      </c>
      <c r="B309">
        <v>80</v>
      </c>
      <c r="C309" t="s">
        <v>0</v>
      </c>
      <c r="D309" s="1">
        <v>45332</v>
      </c>
      <c r="E309" t="s">
        <v>19</v>
      </c>
      <c r="F309" t="s">
        <v>14</v>
      </c>
      <c r="G309" t="s">
        <v>20</v>
      </c>
      <c r="H309">
        <v>5</v>
      </c>
      <c r="I309">
        <v>226.7</v>
      </c>
      <c r="J309" t="s">
        <v>8</v>
      </c>
    </row>
    <row r="310" spans="1:10" x14ac:dyDescent="0.35">
      <c r="A310">
        <v>309</v>
      </c>
      <c r="B310">
        <v>78</v>
      </c>
      <c r="C310" t="s">
        <v>5</v>
      </c>
      <c r="D310" s="1">
        <v>45234</v>
      </c>
      <c r="E310" t="s">
        <v>6</v>
      </c>
      <c r="F310" t="s">
        <v>14</v>
      </c>
      <c r="G310" t="s">
        <v>18</v>
      </c>
      <c r="H310">
        <v>2</v>
      </c>
      <c r="I310">
        <v>483</v>
      </c>
      <c r="J310" t="s">
        <v>16</v>
      </c>
    </row>
    <row r="311" spans="1:10" x14ac:dyDescent="0.35">
      <c r="A311">
        <v>310</v>
      </c>
      <c r="B311">
        <v>82</v>
      </c>
      <c r="C311" t="s">
        <v>0</v>
      </c>
      <c r="D311" s="1">
        <v>45225</v>
      </c>
      <c r="E311" t="s">
        <v>1</v>
      </c>
      <c r="F311" t="s">
        <v>7</v>
      </c>
      <c r="G311" t="s">
        <v>3</v>
      </c>
      <c r="H311">
        <v>5</v>
      </c>
      <c r="I311">
        <v>200.51</v>
      </c>
      <c r="J311" t="s">
        <v>10</v>
      </c>
    </row>
    <row r="312" spans="1:10" x14ac:dyDescent="0.35">
      <c r="A312">
        <v>311</v>
      </c>
      <c r="B312">
        <v>73</v>
      </c>
      <c r="C312" t="s">
        <v>5</v>
      </c>
      <c r="D312" s="1">
        <v>45300</v>
      </c>
      <c r="E312" t="s">
        <v>1</v>
      </c>
      <c r="F312" t="s">
        <v>2</v>
      </c>
      <c r="G312" t="s">
        <v>3</v>
      </c>
      <c r="H312">
        <v>10</v>
      </c>
      <c r="I312">
        <v>388.46</v>
      </c>
      <c r="J312" t="s">
        <v>4</v>
      </c>
    </row>
    <row r="313" spans="1:10" x14ac:dyDescent="0.35">
      <c r="A313">
        <v>312</v>
      </c>
      <c r="B313">
        <v>27</v>
      </c>
      <c r="C313" t="s">
        <v>0</v>
      </c>
      <c r="D313" s="1">
        <v>45399</v>
      </c>
      <c r="E313" t="s">
        <v>19</v>
      </c>
      <c r="F313" t="s">
        <v>7</v>
      </c>
      <c r="G313" t="s">
        <v>3</v>
      </c>
      <c r="H313">
        <v>1</v>
      </c>
      <c r="I313">
        <v>413.1</v>
      </c>
      <c r="J313" t="s">
        <v>10</v>
      </c>
    </row>
    <row r="314" spans="1:10" x14ac:dyDescent="0.35">
      <c r="A314">
        <v>313</v>
      </c>
      <c r="B314">
        <v>18</v>
      </c>
      <c r="C314" t="s">
        <v>0</v>
      </c>
      <c r="D314" s="1">
        <v>45616</v>
      </c>
      <c r="E314" t="s">
        <v>1</v>
      </c>
      <c r="F314" t="s">
        <v>12</v>
      </c>
      <c r="G314" t="s">
        <v>18</v>
      </c>
      <c r="H314">
        <v>10</v>
      </c>
      <c r="I314">
        <v>93.99</v>
      </c>
      <c r="J314" t="s">
        <v>10</v>
      </c>
    </row>
    <row r="315" spans="1:10" x14ac:dyDescent="0.35">
      <c r="A315">
        <v>314</v>
      </c>
      <c r="B315">
        <v>58</v>
      </c>
      <c r="C315" t="s">
        <v>0</v>
      </c>
      <c r="D315" s="1">
        <v>45313</v>
      </c>
      <c r="E315" t="s">
        <v>6</v>
      </c>
      <c r="F315" t="s">
        <v>2</v>
      </c>
      <c r="G315" t="s">
        <v>3</v>
      </c>
      <c r="H315">
        <v>8</v>
      </c>
      <c r="I315">
        <v>263.17</v>
      </c>
      <c r="J315" t="s">
        <v>10</v>
      </c>
    </row>
    <row r="316" spans="1:10" x14ac:dyDescent="0.35">
      <c r="A316">
        <v>315</v>
      </c>
      <c r="B316">
        <v>47</v>
      </c>
      <c r="C316" t="s">
        <v>5</v>
      </c>
      <c r="D316" s="1">
        <v>45483</v>
      </c>
      <c r="E316" t="s">
        <v>11</v>
      </c>
      <c r="F316" t="s">
        <v>2</v>
      </c>
      <c r="G316" t="s">
        <v>3</v>
      </c>
      <c r="H316">
        <v>3</v>
      </c>
      <c r="I316">
        <v>335.65</v>
      </c>
      <c r="J316" t="s">
        <v>16</v>
      </c>
    </row>
    <row r="317" spans="1:10" x14ac:dyDescent="0.35">
      <c r="A317">
        <v>316</v>
      </c>
      <c r="B317">
        <v>79</v>
      </c>
      <c r="C317" t="s">
        <v>5</v>
      </c>
      <c r="D317" s="1">
        <v>45097</v>
      </c>
      <c r="E317" t="s">
        <v>6</v>
      </c>
      <c r="F317" t="s">
        <v>7</v>
      </c>
      <c r="G317" t="s">
        <v>3</v>
      </c>
      <c r="H317">
        <v>5</v>
      </c>
      <c r="I317">
        <v>483.54</v>
      </c>
      <c r="J317" t="s">
        <v>10</v>
      </c>
    </row>
    <row r="318" spans="1:10" x14ac:dyDescent="0.35">
      <c r="A318">
        <v>317</v>
      </c>
      <c r="B318">
        <v>13</v>
      </c>
      <c r="C318" t="s">
        <v>0</v>
      </c>
      <c r="D318" s="1">
        <v>45035</v>
      </c>
      <c r="E318" t="s">
        <v>1</v>
      </c>
      <c r="F318" t="s">
        <v>2</v>
      </c>
      <c r="G318" t="s">
        <v>3</v>
      </c>
      <c r="H318">
        <v>8</v>
      </c>
      <c r="I318">
        <v>378.49</v>
      </c>
      <c r="J318" t="s">
        <v>8</v>
      </c>
    </row>
    <row r="319" spans="1:10" x14ac:dyDescent="0.35">
      <c r="A319">
        <v>318</v>
      </c>
      <c r="B319">
        <v>51</v>
      </c>
      <c r="C319" t="s">
        <v>0</v>
      </c>
      <c r="D319" s="1">
        <v>45383</v>
      </c>
      <c r="E319" t="s">
        <v>1</v>
      </c>
      <c r="F319" t="s">
        <v>14</v>
      </c>
      <c r="G319" t="s">
        <v>18</v>
      </c>
      <c r="H319">
        <v>0</v>
      </c>
      <c r="I319">
        <v>251.73</v>
      </c>
      <c r="J319" t="s">
        <v>16</v>
      </c>
    </row>
    <row r="320" spans="1:10" x14ac:dyDescent="0.35">
      <c r="A320">
        <v>319</v>
      </c>
      <c r="B320">
        <v>15</v>
      </c>
      <c r="C320" t="s">
        <v>5</v>
      </c>
      <c r="D320" s="1">
        <v>45352</v>
      </c>
      <c r="E320" t="s">
        <v>19</v>
      </c>
      <c r="F320" t="s">
        <v>2</v>
      </c>
      <c r="G320" t="s">
        <v>3</v>
      </c>
      <c r="H320">
        <v>4</v>
      </c>
      <c r="I320">
        <v>184.67</v>
      </c>
      <c r="J320" t="s">
        <v>8</v>
      </c>
    </row>
    <row r="321" spans="1:10" x14ac:dyDescent="0.35">
      <c r="A321">
        <v>320</v>
      </c>
      <c r="B321">
        <v>45</v>
      </c>
      <c r="C321" t="s">
        <v>0</v>
      </c>
      <c r="D321" s="1">
        <v>45460</v>
      </c>
      <c r="E321" t="s">
        <v>11</v>
      </c>
      <c r="F321" t="s">
        <v>12</v>
      </c>
      <c r="G321" t="s">
        <v>20</v>
      </c>
      <c r="H321">
        <v>7</v>
      </c>
      <c r="I321">
        <v>173.08</v>
      </c>
      <c r="J321" t="s">
        <v>16</v>
      </c>
    </row>
    <row r="322" spans="1:10" x14ac:dyDescent="0.35">
      <c r="A322">
        <v>321</v>
      </c>
      <c r="B322">
        <v>15</v>
      </c>
      <c r="C322" t="s">
        <v>5</v>
      </c>
      <c r="D322" s="1">
        <v>44972</v>
      </c>
      <c r="E322" t="s">
        <v>19</v>
      </c>
      <c r="F322" t="s">
        <v>7</v>
      </c>
      <c r="G322" t="s">
        <v>3</v>
      </c>
      <c r="H322">
        <v>10</v>
      </c>
      <c r="I322">
        <v>72.489999999999995</v>
      </c>
      <c r="J322" t="s">
        <v>8</v>
      </c>
    </row>
    <row r="323" spans="1:10" x14ac:dyDescent="0.35">
      <c r="A323">
        <v>322</v>
      </c>
      <c r="B323">
        <v>23</v>
      </c>
      <c r="C323" t="s">
        <v>5</v>
      </c>
      <c r="D323" s="1">
        <v>45176</v>
      </c>
      <c r="E323" t="s">
        <v>19</v>
      </c>
      <c r="F323" t="s">
        <v>9</v>
      </c>
      <c r="G323" t="s">
        <v>3</v>
      </c>
      <c r="H323">
        <v>8</v>
      </c>
      <c r="I323">
        <v>224.66</v>
      </c>
      <c r="J323" t="s">
        <v>10</v>
      </c>
    </row>
    <row r="324" spans="1:10" x14ac:dyDescent="0.35">
      <c r="A324">
        <v>323</v>
      </c>
      <c r="B324">
        <v>81</v>
      </c>
      <c r="C324" t="s">
        <v>5</v>
      </c>
      <c r="D324" s="1">
        <v>45164</v>
      </c>
      <c r="E324" t="s">
        <v>1</v>
      </c>
      <c r="F324" t="s">
        <v>12</v>
      </c>
      <c r="G324" t="s">
        <v>20</v>
      </c>
      <c r="H324">
        <v>6</v>
      </c>
      <c r="I324">
        <v>34.01</v>
      </c>
      <c r="J324" t="s">
        <v>8</v>
      </c>
    </row>
    <row r="325" spans="1:10" x14ac:dyDescent="0.35">
      <c r="A325">
        <v>324</v>
      </c>
      <c r="B325">
        <v>55</v>
      </c>
      <c r="C325" t="s">
        <v>0</v>
      </c>
      <c r="D325" s="1">
        <v>45387</v>
      </c>
      <c r="E325" t="s">
        <v>11</v>
      </c>
      <c r="F325" t="s">
        <v>9</v>
      </c>
      <c r="G325" t="s">
        <v>3</v>
      </c>
      <c r="H325">
        <v>3</v>
      </c>
      <c r="I325">
        <v>118.78</v>
      </c>
      <c r="J325" t="s">
        <v>4</v>
      </c>
    </row>
    <row r="326" spans="1:10" x14ac:dyDescent="0.35">
      <c r="A326">
        <v>325</v>
      </c>
      <c r="B326">
        <v>69</v>
      </c>
      <c r="C326" t="s">
        <v>5</v>
      </c>
      <c r="D326" s="1">
        <v>45518</v>
      </c>
      <c r="E326" t="s">
        <v>19</v>
      </c>
      <c r="F326" t="s">
        <v>2</v>
      </c>
      <c r="G326" t="s">
        <v>3</v>
      </c>
      <c r="H326">
        <v>5</v>
      </c>
      <c r="I326">
        <v>114.6</v>
      </c>
      <c r="J326" t="s">
        <v>4</v>
      </c>
    </row>
    <row r="327" spans="1:10" x14ac:dyDescent="0.35">
      <c r="A327">
        <v>326</v>
      </c>
      <c r="B327">
        <v>63</v>
      </c>
      <c r="C327" t="s">
        <v>0</v>
      </c>
      <c r="D327" s="1">
        <v>45195</v>
      </c>
      <c r="E327" t="s">
        <v>6</v>
      </c>
      <c r="F327" t="s">
        <v>7</v>
      </c>
      <c r="G327" t="s">
        <v>3</v>
      </c>
      <c r="H327">
        <v>9</v>
      </c>
      <c r="I327">
        <v>208.42</v>
      </c>
      <c r="J327" t="s">
        <v>4</v>
      </c>
    </row>
    <row r="328" spans="1:10" x14ac:dyDescent="0.35">
      <c r="A328">
        <v>327</v>
      </c>
      <c r="B328">
        <v>59</v>
      </c>
      <c r="C328" t="s">
        <v>5</v>
      </c>
      <c r="D328" s="1">
        <v>45283</v>
      </c>
      <c r="E328" t="s">
        <v>19</v>
      </c>
      <c r="F328" t="s">
        <v>14</v>
      </c>
      <c r="G328" t="s">
        <v>3</v>
      </c>
      <c r="H328">
        <v>9</v>
      </c>
      <c r="I328">
        <v>60.68</v>
      </c>
      <c r="J328" t="s">
        <v>8</v>
      </c>
    </row>
    <row r="329" spans="1:10" x14ac:dyDescent="0.35">
      <c r="A329">
        <v>328</v>
      </c>
      <c r="B329">
        <v>31</v>
      </c>
      <c r="C329" t="s">
        <v>0</v>
      </c>
      <c r="D329" s="1">
        <v>45247</v>
      </c>
      <c r="E329" t="s">
        <v>11</v>
      </c>
      <c r="F329" t="s">
        <v>2</v>
      </c>
      <c r="G329" t="s">
        <v>3</v>
      </c>
      <c r="H329">
        <v>2</v>
      </c>
      <c r="I329">
        <v>199.19</v>
      </c>
      <c r="J329" t="s">
        <v>8</v>
      </c>
    </row>
    <row r="330" spans="1:10" x14ac:dyDescent="0.35">
      <c r="A330">
        <v>329</v>
      </c>
      <c r="B330">
        <v>54</v>
      </c>
      <c r="C330" t="s">
        <v>5</v>
      </c>
      <c r="D330" s="1">
        <v>45450</v>
      </c>
      <c r="E330" t="s">
        <v>6</v>
      </c>
      <c r="F330" t="s">
        <v>12</v>
      </c>
      <c r="G330" t="s">
        <v>20</v>
      </c>
      <c r="H330">
        <v>2</v>
      </c>
      <c r="I330">
        <v>253.6</v>
      </c>
      <c r="J330" t="s">
        <v>8</v>
      </c>
    </row>
    <row r="331" spans="1:10" x14ac:dyDescent="0.35">
      <c r="A331">
        <v>330</v>
      </c>
      <c r="B331">
        <v>63</v>
      </c>
      <c r="C331" t="s">
        <v>0</v>
      </c>
      <c r="D331" s="1">
        <v>45495</v>
      </c>
      <c r="E331" t="s">
        <v>1</v>
      </c>
      <c r="F331" t="s">
        <v>17</v>
      </c>
      <c r="G331" t="s">
        <v>13</v>
      </c>
      <c r="H331">
        <v>5</v>
      </c>
      <c r="I331">
        <v>424.15</v>
      </c>
      <c r="J331" t="s">
        <v>4</v>
      </c>
    </row>
    <row r="332" spans="1:10" x14ac:dyDescent="0.35">
      <c r="A332">
        <v>331</v>
      </c>
      <c r="B332">
        <v>63</v>
      </c>
      <c r="C332" t="s">
        <v>5</v>
      </c>
      <c r="D332" s="1">
        <v>45294</v>
      </c>
      <c r="E332" t="s">
        <v>1</v>
      </c>
      <c r="F332" t="s">
        <v>2</v>
      </c>
      <c r="G332" t="s">
        <v>3</v>
      </c>
      <c r="H332">
        <v>6</v>
      </c>
      <c r="I332">
        <v>482.64</v>
      </c>
      <c r="J332" t="s">
        <v>10</v>
      </c>
    </row>
    <row r="333" spans="1:10" x14ac:dyDescent="0.35">
      <c r="A333">
        <v>332</v>
      </c>
      <c r="B333">
        <v>63</v>
      </c>
      <c r="C333" t="s">
        <v>0</v>
      </c>
      <c r="D333" s="1">
        <v>45345</v>
      </c>
      <c r="E333" t="s">
        <v>6</v>
      </c>
      <c r="F333" t="s">
        <v>7</v>
      </c>
      <c r="G333" t="s">
        <v>3</v>
      </c>
      <c r="H333">
        <v>7</v>
      </c>
      <c r="I333">
        <v>100.28</v>
      </c>
      <c r="J333" t="s">
        <v>4</v>
      </c>
    </row>
    <row r="334" spans="1:10" x14ac:dyDescent="0.35">
      <c r="A334">
        <v>333</v>
      </c>
      <c r="B334">
        <v>5</v>
      </c>
      <c r="C334" t="s">
        <v>0</v>
      </c>
      <c r="D334" s="1">
        <v>45152</v>
      </c>
      <c r="E334" t="s">
        <v>1</v>
      </c>
      <c r="F334" t="s">
        <v>14</v>
      </c>
      <c r="G334" t="s">
        <v>3</v>
      </c>
      <c r="H334">
        <v>4</v>
      </c>
      <c r="I334">
        <v>100.74</v>
      </c>
      <c r="J334" t="s">
        <v>10</v>
      </c>
    </row>
    <row r="335" spans="1:10" x14ac:dyDescent="0.35">
      <c r="A335">
        <v>334</v>
      </c>
      <c r="B335">
        <v>64</v>
      </c>
      <c r="C335" t="s">
        <v>5</v>
      </c>
      <c r="D335" s="1">
        <v>45506</v>
      </c>
      <c r="E335" t="s">
        <v>11</v>
      </c>
      <c r="F335" t="s">
        <v>7</v>
      </c>
      <c r="G335" t="s">
        <v>3</v>
      </c>
      <c r="H335">
        <v>4</v>
      </c>
      <c r="I335">
        <v>392.05</v>
      </c>
      <c r="J335" t="s">
        <v>16</v>
      </c>
    </row>
    <row r="336" spans="1:10" x14ac:dyDescent="0.35">
      <c r="A336">
        <v>335</v>
      </c>
      <c r="B336">
        <v>57</v>
      </c>
      <c r="C336" t="s">
        <v>5</v>
      </c>
      <c r="D336" s="1">
        <v>45482</v>
      </c>
      <c r="E336" t="s">
        <v>6</v>
      </c>
      <c r="F336" t="s">
        <v>2</v>
      </c>
      <c r="G336" t="s">
        <v>3</v>
      </c>
      <c r="H336">
        <v>1</v>
      </c>
      <c r="I336">
        <v>373.27</v>
      </c>
      <c r="J336" t="s">
        <v>8</v>
      </c>
    </row>
    <row r="337" spans="1:10" x14ac:dyDescent="0.35">
      <c r="A337">
        <v>336</v>
      </c>
      <c r="B337">
        <v>58</v>
      </c>
      <c r="C337" t="s">
        <v>0</v>
      </c>
      <c r="D337" s="1">
        <v>45231</v>
      </c>
      <c r="E337" t="s">
        <v>19</v>
      </c>
      <c r="F337" t="s">
        <v>2</v>
      </c>
      <c r="G337" t="s">
        <v>3</v>
      </c>
      <c r="H337">
        <v>1</v>
      </c>
      <c r="I337">
        <v>230.75</v>
      </c>
      <c r="J337" t="s">
        <v>4</v>
      </c>
    </row>
    <row r="338" spans="1:10" x14ac:dyDescent="0.35">
      <c r="A338">
        <v>337</v>
      </c>
      <c r="B338">
        <v>76</v>
      </c>
      <c r="C338" t="s">
        <v>0</v>
      </c>
      <c r="D338" s="1">
        <v>45169</v>
      </c>
      <c r="E338" t="s">
        <v>6</v>
      </c>
      <c r="F338" t="s">
        <v>17</v>
      </c>
      <c r="G338" t="s">
        <v>13</v>
      </c>
      <c r="H338">
        <v>9</v>
      </c>
      <c r="I338">
        <v>86.83</v>
      </c>
      <c r="J338" t="s">
        <v>8</v>
      </c>
    </row>
    <row r="339" spans="1:10" x14ac:dyDescent="0.35">
      <c r="A339">
        <v>338</v>
      </c>
      <c r="B339">
        <v>73</v>
      </c>
      <c r="C339" t="s">
        <v>0</v>
      </c>
      <c r="D339" s="1">
        <v>45138</v>
      </c>
      <c r="E339" t="s">
        <v>19</v>
      </c>
      <c r="F339" t="s">
        <v>2</v>
      </c>
      <c r="G339" t="s">
        <v>3</v>
      </c>
      <c r="H339">
        <v>9</v>
      </c>
      <c r="I339">
        <v>278.61</v>
      </c>
      <c r="J339" t="s">
        <v>16</v>
      </c>
    </row>
    <row r="340" spans="1:10" x14ac:dyDescent="0.35">
      <c r="A340">
        <v>339</v>
      </c>
      <c r="B340">
        <v>38</v>
      </c>
      <c r="C340" t="s">
        <v>0</v>
      </c>
      <c r="D340" s="1">
        <v>45647</v>
      </c>
      <c r="E340" t="s">
        <v>11</v>
      </c>
      <c r="F340" t="s">
        <v>14</v>
      </c>
      <c r="G340" t="s">
        <v>13</v>
      </c>
      <c r="H340">
        <v>6</v>
      </c>
      <c r="I340">
        <v>461.01</v>
      </c>
      <c r="J340" t="s">
        <v>16</v>
      </c>
    </row>
    <row r="341" spans="1:10" x14ac:dyDescent="0.35">
      <c r="A341">
        <v>340</v>
      </c>
      <c r="B341">
        <v>17</v>
      </c>
      <c r="C341" t="s">
        <v>5</v>
      </c>
      <c r="D341" s="1">
        <v>45598</v>
      </c>
      <c r="E341" t="s">
        <v>1</v>
      </c>
      <c r="F341" t="s">
        <v>17</v>
      </c>
      <c r="G341" t="s">
        <v>18</v>
      </c>
      <c r="H341">
        <v>3</v>
      </c>
      <c r="I341">
        <v>385.51</v>
      </c>
      <c r="J341" t="s">
        <v>10</v>
      </c>
    </row>
    <row r="342" spans="1:10" x14ac:dyDescent="0.35">
      <c r="A342">
        <v>341</v>
      </c>
      <c r="B342">
        <v>74</v>
      </c>
      <c r="C342" t="s">
        <v>0</v>
      </c>
      <c r="D342" s="1">
        <v>45428</v>
      </c>
      <c r="E342" t="s">
        <v>6</v>
      </c>
      <c r="F342" t="s">
        <v>17</v>
      </c>
      <c r="G342" t="s">
        <v>20</v>
      </c>
      <c r="H342">
        <v>7</v>
      </c>
      <c r="I342">
        <v>56.25</v>
      </c>
      <c r="J342" t="s">
        <v>4</v>
      </c>
    </row>
    <row r="343" spans="1:10" x14ac:dyDescent="0.35">
      <c r="A343">
        <v>342</v>
      </c>
      <c r="B343">
        <v>36</v>
      </c>
      <c r="C343" t="s">
        <v>0</v>
      </c>
      <c r="D343" s="1">
        <v>45339</v>
      </c>
      <c r="E343" t="s">
        <v>6</v>
      </c>
      <c r="F343" t="s">
        <v>9</v>
      </c>
      <c r="G343" t="s">
        <v>3</v>
      </c>
      <c r="H343">
        <v>7</v>
      </c>
      <c r="I343">
        <v>177.1</v>
      </c>
      <c r="J343" t="s">
        <v>4</v>
      </c>
    </row>
    <row r="344" spans="1:10" x14ac:dyDescent="0.35">
      <c r="A344">
        <v>343</v>
      </c>
      <c r="B344">
        <v>59</v>
      </c>
      <c r="C344" t="s">
        <v>0</v>
      </c>
      <c r="D344" s="1">
        <v>45022</v>
      </c>
      <c r="E344" t="s">
        <v>11</v>
      </c>
      <c r="F344" t="s">
        <v>7</v>
      </c>
      <c r="G344" t="s">
        <v>3</v>
      </c>
      <c r="H344">
        <v>8</v>
      </c>
      <c r="I344">
        <v>210.9</v>
      </c>
      <c r="J344" t="s">
        <v>10</v>
      </c>
    </row>
    <row r="345" spans="1:10" x14ac:dyDescent="0.35">
      <c r="A345">
        <v>344</v>
      </c>
      <c r="B345">
        <v>35</v>
      </c>
      <c r="C345" t="s">
        <v>0</v>
      </c>
      <c r="D345" s="1">
        <v>45143</v>
      </c>
      <c r="E345" t="s">
        <v>19</v>
      </c>
      <c r="F345" t="s">
        <v>12</v>
      </c>
      <c r="G345" t="s">
        <v>18</v>
      </c>
      <c r="H345">
        <v>8</v>
      </c>
      <c r="I345">
        <v>297.41000000000003</v>
      </c>
      <c r="J345" t="s">
        <v>10</v>
      </c>
    </row>
    <row r="346" spans="1:10" x14ac:dyDescent="0.35">
      <c r="A346">
        <v>345</v>
      </c>
      <c r="B346">
        <v>7</v>
      </c>
      <c r="C346" t="s">
        <v>5</v>
      </c>
      <c r="D346" s="1">
        <v>45278</v>
      </c>
      <c r="E346" t="s">
        <v>11</v>
      </c>
      <c r="F346" t="s">
        <v>7</v>
      </c>
      <c r="G346" t="s">
        <v>3</v>
      </c>
      <c r="H346">
        <v>10</v>
      </c>
      <c r="I346">
        <v>396.27</v>
      </c>
      <c r="J346" t="s">
        <v>10</v>
      </c>
    </row>
    <row r="347" spans="1:10" x14ac:dyDescent="0.35">
      <c r="A347">
        <v>346</v>
      </c>
      <c r="B347">
        <v>21</v>
      </c>
      <c r="C347" t="s">
        <v>0</v>
      </c>
      <c r="D347" s="1">
        <v>44943</v>
      </c>
      <c r="E347" t="s">
        <v>6</v>
      </c>
      <c r="F347" t="s">
        <v>2</v>
      </c>
      <c r="G347" t="s">
        <v>3</v>
      </c>
      <c r="H347">
        <v>0</v>
      </c>
      <c r="I347">
        <v>496.08</v>
      </c>
      <c r="J347" t="s">
        <v>10</v>
      </c>
    </row>
    <row r="348" spans="1:10" x14ac:dyDescent="0.35">
      <c r="A348">
        <v>347</v>
      </c>
      <c r="B348">
        <v>17</v>
      </c>
      <c r="C348" t="s">
        <v>0</v>
      </c>
      <c r="D348" s="1">
        <v>45134</v>
      </c>
      <c r="E348" t="s">
        <v>1</v>
      </c>
      <c r="F348" t="s">
        <v>7</v>
      </c>
      <c r="G348" t="s">
        <v>3</v>
      </c>
      <c r="H348">
        <v>4</v>
      </c>
      <c r="I348">
        <v>64.8</v>
      </c>
      <c r="J348" t="s">
        <v>16</v>
      </c>
    </row>
    <row r="349" spans="1:10" x14ac:dyDescent="0.35">
      <c r="A349">
        <v>348</v>
      </c>
      <c r="B349">
        <v>48</v>
      </c>
      <c r="C349" t="s">
        <v>5</v>
      </c>
      <c r="D349" s="1">
        <v>45183</v>
      </c>
      <c r="E349" t="s">
        <v>11</v>
      </c>
      <c r="F349" t="s">
        <v>2</v>
      </c>
      <c r="G349" t="s">
        <v>3</v>
      </c>
      <c r="H349">
        <v>6</v>
      </c>
      <c r="I349">
        <v>320.29000000000002</v>
      </c>
      <c r="J349" t="s">
        <v>8</v>
      </c>
    </row>
    <row r="350" spans="1:10" x14ac:dyDescent="0.35">
      <c r="A350">
        <v>349</v>
      </c>
      <c r="B350">
        <v>12</v>
      </c>
      <c r="C350" t="s">
        <v>5</v>
      </c>
      <c r="D350" s="1">
        <v>45366</v>
      </c>
      <c r="E350" t="s">
        <v>11</v>
      </c>
      <c r="F350" t="s">
        <v>7</v>
      </c>
      <c r="G350" t="s">
        <v>3</v>
      </c>
      <c r="H350">
        <v>3</v>
      </c>
      <c r="I350">
        <v>248.87</v>
      </c>
      <c r="J350" t="s">
        <v>8</v>
      </c>
    </row>
    <row r="351" spans="1:10" x14ac:dyDescent="0.35">
      <c r="A351">
        <v>350</v>
      </c>
      <c r="B351">
        <v>67</v>
      </c>
      <c r="C351" t="s">
        <v>0</v>
      </c>
      <c r="D351" s="1">
        <v>45534</v>
      </c>
      <c r="E351" t="s">
        <v>11</v>
      </c>
      <c r="F351" t="s">
        <v>17</v>
      </c>
      <c r="G351" t="s">
        <v>15</v>
      </c>
      <c r="H351">
        <v>5</v>
      </c>
      <c r="I351">
        <v>412.21</v>
      </c>
      <c r="J351" t="s">
        <v>10</v>
      </c>
    </row>
    <row r="352" spans="1:10" x14ac:dyDescent="0.35">
      <c r="A352">
        <v>351</v>
      </c>
      <c r="B352">
        <v>62</v>
      </c>
      <c r="C352" t="s">
        <v>5</v>
      </c>
      <c r="D352" s="1">
        <v>45637</v>
      </c>
      <c r="E352" t="s">
        <v>1</v>
      </c>
      <c r="F352" t="s">
        <v>17</v>
      </c>
      <c r="G352" t="s">
        <v>20</v>
      </c>
      <c r="H352">
        <v>1</v>
      </c>
      <c r="I352">
        <v>370.77</v>
      </c>
      <c r="J352" t="s">
        <v>4</v>
      </c>
    </row>
    <row r="353" spans="1:10" x14ac:dyDescent="0.35">
      <c r="A353">
        <v>352</v>
      </c>
      <c r="B353">
        <v>48</v>
      </c>
      <c r="C353" t="s">
        <v>0</v>
      </c>
      <c r="D353" s="1">
        <v>45032</v>
      </c>
      <c r="E353" t="s">
        <v>1</v>
      </c>
      <c r="F353" t="s">
        <v>14</v>
      </c>
      <c r="G353" t="s">
        <v>20</v>
      </c>
      <c r="H353">
        <v>2</v>
      </c>
      <c r="I353">
        <v>327.96</v>
      </c>
      <c r="J353" t="s">
        <v>8</v>
      </c>
    </row>
    <row r="354" spans="1:10" x14ac:dyDescent="0.35">
      <c r="A354">
        <v>353</v>
      </c>
      <c r="B354">
        <v>73</v>
      </c>
      <c r="C354" t="s">
        <v>5</v>
      </c>
      <c r="D354" s="1">
        <v>44997</v>
      </c>
      <c r="E354" t="s">
        <v>1</v>
      </c>
      <c r="F354" t="s">
        <v>9</v>
      </c>
      <c r="G354" t="s">
        <v>3</v>
      </c>
      <c r="H354">
        <v>7</v>
      </c>
      <c r="I354">
        <v>188.57</v>
      </c>
      <c r="J354" t="s">
        <v>8</v>
      </c>
    </row>
    <row r="355" spans="1:10" x14ac:dyDescent="0.35">
      <c r="A355">
        <v>354</v>
      </c>
      <c r="B355">
        <v>20</v>
      </c>
      <c r="C355" t="s">
        <v>0</v>
      </c>
      <c r="D355" s="1">
        <v>45570</v>
      </c>
      <c r="E355" t="s">
        <v>6</v>
      </c>
      <c r="F355" t="s">
        <v>7</v>
      </c>
      <c r="G355" t="s">
        <v>3</v>
      </c>
      <c r="H355">
        <v>3</v>
      </c>
      <c r="I355">
        <v>61.61</v>
      </c>
      <c r="J355" t="s">
        <v>4</v>
      </c>
    </row>
    <row r="356" spans="1:10" x14ac:dyDescent="0.35">
      <c r="A356">
        <v>355</v>
      </c>
      <c r="B356">
        <v>76</v>
      </c>
      <c r="C356" t="s">
        <v>0</v>
      </c>
      <c r="D356" s="1">
        <v>45070</v>
      </c>
      <c r="E356" t="s">
        <v>19</v>
      </c>
      <c r="F356" t="s">
        <v>2</v>
      </c>
      <c r="G356" t="s">
        <v>3</v>
      </c>
      <c r="H356">
        <v>6</v>
      </c>
      <c r="I356">
        <v>170.96</v>
      </c>
      <c r="J356" t="s">
        <v>8</v>
      </c>
    </row>
    <row r="357" spans="1:10" x14ac:dyDescent="0.35">
      <c r="A357">
        <v>356</v>
      </c>
      <c r="B357">
        <v>83</v>
      </c>
      <c r="C357" t="s">
        <v>5</v>
      </c>
      <c r="D357" s="1">
        <v>45180</v>
      </c>
      <c r="E357" t="s">
        <v>1</v>
      </c>
      <c r="F357" t="s">
        <v>14</v>
      </c>
      <c r="G357" t="s">
        <v>3</v>
      </c>
      <c r="H357">
        <v>9</v>
      </c>
      <c r="I357">
        <v>308</v>
      </c>
      <c r="J357" t="s">
        <v>16</v>
      </c>
    </row>
    <row r="358" spans="1:10" x14ac:dyDescent="0.35">
      <c r="A358">
        <v>357</v>
      </c>
      <c r="B358">
        <v>85</v>
      </c>
      <c r="C358" t="s">
        <v>0</v>
      </c>
      <c r="D358" s="1">
        <v>45634</v>
      </c>
      <c r="E358" t="s">
        <v>1</v>
      </c>
      <c r="F358" t="s">
        <v>2</v>
      </c>
      <c r="G358" t="s">
        <v>3</v>
      </c>
      <c r="H358">
        <v>8</v>
      </c>
      <c r="I358">
        <v>311.32</v>
      </c>
      <c r="J358" t="s">
        <v>8</v>
      </c>
    </row>
    <row r="359" spans="1:10" x14ac:dyDescent="0.35">
      <c r="A359">
        <v>358</v>
      </c>
      <c r="B359">
        <v>83</v>
      </c>
      <c r="C359" t="s">
        <v>5</v>
      </c>
      <c r="D359" s="1">
        <v>45328</v>
      </c>
      <c r="E359" t="s">
        <v>1</v>
      </c>
      <c r="F359" t="s">
        <v>14</v>
      </c>
      <c r="G359" t="s">
        <v>20</v>
      </c>
      <c r="H359">
        <v>6</v>
      </c>
      <c r="I359">
        <v>74.12</v>
      </c>
      <c r="J359" t="s">
        <v>10</v>
      </c>
    </row>
    <row r="360" spans="1:10" x14ac:dyDescent="0.35">
      <c r="A360">
        <v>359</v>
      </c>
      <c r="B360">
        <v>10</v>
      </c>
      <c r="C360" t="s">
        <v>5</v>
      </c>
      <c r="D360" s="1">
        <v>45580</v>
      </c>
      <c r="E360" t="s">
        <v>19</v>
      </c>
      <c r="F360" t="s">
        <v>9</v>
      </c>
      <c r="G360" t="s">
        <v>3</v>
      </c>
      <c r="H360">
        <v>5</v>
      </c>
      <c r="I360">
        <v>83.35</v>
      </c>
      <c r="J360" t="s">
        <v>10</v>
      </c>
    </row>
    <row r="361" spans="1:10" x14ac:dyDescent="0.35">
      <c r="A361">
        <v>360</v>
      </c>
      <c r="B361">
        <v>23</v>
      </c>
      <c r="C361" t="s">
        <v>0</v>
      </c>
      <c r="D361" s="1">
        <v>45301</v>
      </c>
      <c r="E361" t="s">
        <v>11</v>
      </c>
      <c r="F361" t="s">
        <v>9</v>
      </c>
      <c r="G361" t="s">
        <v>3</v>
      </c>
      <c r="H361">
        <v>0</v>
      </c>
      <c r="I361">
        <v>301.93</v>
      </c>
      <c r="J361" t="s">
        <v>4</v>
      </c>
    </row>
    <row r="362" spans="1:10" x14ac:dyDescent="0.35">
      <c r="A362">
        <v>361</v>
      </c>
      <c r="B362">
        <v>6</v>
      </c>
      <c r="C362" t="s">
        <v>5</v>
      </c>
      <c r="D362" s="1">
        <v>45195</v>
      </c>
      <c r="E362" t="s">
        <v>6</v>
      </c>
      <c r="F362" t="s">
        <v>17</v>
      </c>
      <c r="G362" t="s">
        <v>3</v>
      </c>
      <c r="H362">
        <v>4</v>
      </c>
      <c r="I362">
        <v>321.70999999999998</v>
      </c>
      <c r="J362" t="s">
        <v>10</v>
      </c>
    </row>
    <row r="363" spans="1:10" x14ac:dyDescent="0.35">
      <c r="A363">
        <v>362</v>
      </c>
      <c r="B363">
        <v>52</v>
      </c>
      <c r="C363" t="s">
        <v>5</v>
      </c>
      <c r="D363" s="1">
        <v>45360</v>
      </c>
      <c r="E363" t="s">
        <v>1</v>
      </c>
      <c r="F363" t="s">
        <v>7</v>
      </c>
      <c r="G363" t="s">
        <v>3</v>
      </c>
      <c r="H363">
        <v>4</v>
      </c>
      <c r="I363">
        <v>60.13</v>
      </c>
      <c r="J363" t="s">
        <v>4</v>
      </c>
    </row>
    <row r="364" spans="1:10" x14ac:dyDescent="0.35">
      <c r="A364">
        <v>363</v>
      </c>
      <c r="B364">
        <v>20</v>
      </c>
      <c r="C364" t="s">
        <v>0</v>
      </c>
      <c r="D364" s="1">
        <v>45450</v>
      </c>
      <c r="E364" t="s">
        <v>6</v>
      </c>
      <c r="F364" t="s">
        <v>17</v>
      </c>
      <c r="G364" t="s">
        <v>3</v>
      </c>
      <c r="H364">
        <v>10</v>
      </c>
      <c r="I364">
        <v>386.35</v>
      </c>
      <c r="J364" t="s">
        <v>4</v>
      </c>
    </row>
    <row r="365" spans="1:10" x14ac:dyDescent="0.35">
      <c r="A365">
        <v>364</v>
      </c>
      <c r="B365">
        <v>56</v>
      </c>
      <c r="C365" t="s">
        <v>5</v>
      </c>
      <c r="D365" s="1">
        <v>45244</v>
      </c>
      <c r="E365" t="s">
        <v>11</v>
      </c>
      <c r="F365" t="s">
        <v>7</v>
      </c>
      <c r="G365" t="s">
        <v>3</v>
      </c>
      <c r="H365">
        <v>3</v>
      </c>
      <c r="I365">
        <v>61.38</v>
      </c>
      <c r="J365" t="s">
        <v>10</v>
      </c>
    </row>
    <row r="366" spans="1:10" x14ac:dyDescent="0.35">
      <c r="A366">
        <v>365</v>
      </c>
      <c r="B366">
        <v>79</v>
      </c>
      <c r="C366" t="s">
        <v>5</v>
      </c>
      <c r="D366" s="1">
        <v>45045</v>
      </c>
      <c r="E366" t="s">
        <v>19</v>
      </c>
      <c r="F366" t="s">
        <v>12</v>
      </c>
      <c r="G366" t="s">
        <v>13</v>
      </c>
      <c r="H366">
        <v>1</v>
      </c>
      <c r="I366">
        <v>26.08</v>
      </c>
      <c r="J366" t="s">
        <v>8</v>
      </c>
    </row>
    <row r="367" spans="1:10" x14ac:dyDescent="0.35">
      <c r="A367">
        <v>366</v>
      </c>
      <c r="B367">
        <v>21</v>
      </c>
      <c r="C367" t="s">
        <v>0</v>
      </c>
      <c r="D367" s="1">
        <v>45645</v>
      </c>
      <c r="E367" t="s">
        <v>19</v>
      </c>
      <c r="F367" t="s">
        <v>2</v>
      </c>
      <c r="G367" t="s">
        <v>3</v>
      </c>
      <c r="H367">
        <v>8</v>
      </c>
      <c r="I367">
        <v>268.27</v>
      </c>
      <c r="J367" t="s">
        <v>16</v>
      </c>
    </row>
    <row r="368" spans="1:10" x14ac:dyDescent="0.35">
      <c r="A368">
        <v>367</v>
      </c>
      <c r="B368">
        <v>17</v>
      </c>
      <c r="C368" t="s">
        <v>0</v>
      </c>
      <c r="D368" s="1">
        <v>45097</v>
      </c>
      <c r="E368" t="s">
        <v>11</v>
      </c>
      <c r="F368" t="s">
        <v>14</v>
      </c>
      <c r="G368" t="s">
        <v>15</v>
      </c>
      <c r="H368">
        <v>5</v>
      </c>
      <c r="I368">
        <v>407.41</v>
      </c>
      <c r="J368" t="s">
        <v>16</v>
      </c>
    </row>
    <row r="369" spans="1:10" x14ac:dyDescent="0.35">
      <c r="A369">
        <v>368</v>
      </c>
      <c r="B369">
        <v>34</v>
      </c>
      <c r="C369" t="s">
        <v>5</v>
      </c>
      <c r="D369" s="1">
        <v>45463</v>
      </c>
      <c r="E369" t="s">
        <v>6</v>
      </c>
      <c r="F369" t="s">
        <v>2</v>
      </c>
      <c r="G369" t="s">
        <v>3</v>
      </c>
      <c r="H369">
        <v>7</v>
      </c>
      <c r="I369">
        <v>265.18</v>
      </c>
      <c r="J369" t="s">
        <v>4</v>
      </c>
    </row>
    <row r="370" spans="1:10" x14ac:dyDescent="0.35">
      <c r="A370">
        <v>369</v>
      </c>
      <c r="B370">
        <v>22</v>
      </c>
      <c r="C370" t="s">
        <v>0</v>
      </c>
      <c r="D370" s="1">
        <v>45438</v>
      </c>
      <c r="E370" t="s">
        <v>1</v>
      </c>
      <c r="F370" t="s">
        <v>9</v>
      </c>
      <c r="G370" t="s">
        <v>3</v>
      </c>
      <c r="H370">
        <v>4</v>
      </c>
      <c r="I370">
        <v>391.2</v>
      </c>
      <c r="J370" t="s">
        <v>4</v>
      </c>
    </row>
    <row r="371" spans="1:10" x14ac:dyDescent="0.35">
      <c r="A371">
        <v>370</v>
      </c>
      <c r="B371">
        <v>66</v>
      </c>
      <c r="C371" t="s">
        <v>5</v>
      </c>
      <c r="D371" s="1">
        <v>45160</v>
      </c>
      <c r="E371" t="s">
        <v>11</v>
      </c>
      <c r="F371" t="s">
        <v>7</v>
      </c>
      <c r="G371" t="s">
        <v>3</v>
      </c>
      <c r="H371">
        <v>0</v>
      </c>
      <c r="I371">
        <v>137.38</v>
      </c>
      <c r="J371" t="s">
        <v>10</v>
      </c>
    </row>
    <row r="372" spans="1:10" x14ac:dyDescent="0.35">
      <c r="A372">
        <v>371</v>
      </c>
      <c r="B372">
        <v>20</v>
      </c>
      <c r="C372" t="s">
        <v>5</v>
      </c>
      <c r="D372" s="1">
        <v>45299</v>
      </c>
      <c r="E372" t="s">
        <v>11</v>
      </c>
      <c r="F372" t="s">
        <v>12</v>
      </c>
      <c r="G372" t="s">
        <v>3</v>
      </c>
      <c r="H372">
        <v>10</v>
      </c>
      <c r="I372">
        <v>221.3</v>
      </c>
      <c r="J372" t="s">
        <v>16</v>
      </c>
    </row>
    <row r="373" spans="1:10" x14ac:dyDescent="0.35">
      <c r="A373">
        <v>372</v>
      </c>
      <c r="B373">
        <v>41</v>
      </c>
      <c r="C373" t="s">
        <v>0</v>
      </c>
      <c r="D373" s="1">
        <v>45181</v>
      </c>
      <c r="E373" t="s">
        <v>11</v>
      </c>
      <c r="F373" t="s">
        <v>12</v>
      </c>
      <c r="G373" t="s">
        <v>3</v>
      </c>
      <c r="H373">
        <v>5</v>
      </c>
      <c r="I373">
        <v>77.31</v>
      </c>
      <c r="J373" t="s">
        <v>4</v>
      </c>
    </row>
    <row r="374" spans="1:10" x14ac:dyDescent="0.35">
      <c r="A374">
        <v>373</v>
      </c>
      <c r="B374">
        <v>67</v>
      </c>
      <c r="C374" t="s">
        <v>5</v>
      </c>
      <c r="D374" s="1">
        <v>45110</v>
      </c>
      <c r="E374" t="s">
        <v>6</v>
      </c>
      <c r="F374" t="s">
        <v>17</v>
      </c>
      <c r="G374" t="s">
        <v>15</v>
      </c>
      <c r="H374">
        <v>7</v>
      </c>
      <c r="I374">
        <v>435.7</v>
      </c>
      <c r="J374" t="s">
        <v>16</v>
      </c>
    </row>
    <row r="375" spans="1:10" x14ac:dyDescent="0.35">
      <c r="A375">
        <v>374</v>
      </c>
      <c r="B375">
        <v>71</v>
      </c>
      <c r="C375" t="s">
        <v>0</v>
      </c>
      <c r="D375" s="1">
        <v>45262</v>
      </c>
      <c r="E375" t="s">
        <v>11</v>
      </c>
      <c r="F375" t="s">
        <v>2</v>
      </c>
      <c r="G375" t="s">
        <v>3</v>
      </c>
      <c r="H375">
        <v>5</v>
      </c>
      <c r="I375">
        <v>116.32</v>
      </c>
      <c r="J375" t="s">
        <v>16</v>
      </c>
    </row>
    <row r="376" spans="1:10" x14ac:dyDescent="0.35">
      <c r="A376">
        <v>375</v>
      </c>
      <c r="B376">
        <v>60</v>
      </c>
      <c r="C376" t="s">
        <v>0</v>
      </c>
      <c r="D376" s="1">
        <v>45564</v>
      </c>
      <c r="E376" t="s">
        <v>6</v>
      </c>
      <c r="F376" t="s">
        <v>17</v>
      </c>
      <c r="G376" t="s">
        <v>13</v>
      </c>
      <c r="H376">
        <v>8</v>
      </c>
      <c r="I376">
        <v>385.03</v>
      </c>
      <c r="J376" t="s">
        <v>8</v>
      </c>
    </row>
    <row r="377" spans="1:10" x14ac:dyDescent="0.35">
      <c r="A377">
        <v>376</v>
      </c>
      <c r="B377">
        <v>53</v>
      </c>
      <c r="C377" t="s">
        <v>5</v>
      </c>
      <c r="D377" s="1">
        <v>45081</v>
      </c>
      <c r="E377" t="s">
        <v>1</v>
      </c>
      <c r="F377" t="s">
        <v>2</v>
      </c>
      <c r="G377" t="s">
        <v>3</v>
      </c>
      <c r="H377">
        <v>8</v>
      </c>
      <c r="I377">
        <v>186.28</v>
      </c>
      <c r="J377" t="s">
        <v>4</v>
      </c>
    </row>
    <row r="378" spans="1:10" x14ac:dyDescent="0.35">
      <c r="A378">
        <v>377</v>
      </c>
      <c r="B378">
        <v>85</v>
      </c>
      <c r="C378" t="s">
        <v>0</v>
      </c>
      <c r="D378" s="1">
        <v>45270</v>
      </c>
      <c r="E378" t="s">
        <v>19</v>
      </c>
      <c r="F378" t="s">
        <v>2</v>
      </c>
      <c r="G378" t="s">
        <v>3</v>
      </c>
      <c r="H378">
        <v>1</v>
      </c>
      <c r="I378">
        <v>118.49</v>
      </c>
      <c r="J378" t="s">
        <v>8</v>
      </c>
    </row>
    <row r="379" spans="1:10" x14ac:dyDescent="0.35">
      <c r="A379">
        <v>378</v>
      </c>
      <c r="B379">
        <v>8</v>
      </c>
      <c r="C379" t="s">
        <v>5</v>
      </c>
      <c r="D379" s="1">
        <v>45356</v>
      </c>
      <c r="E379" t="s">
        <v>19</v>
      </c>
      <c r="F379" t="s">
        <v>12</v>
      </c>
      <c r="G379" t="s">
        <v>15</v>
      </c>
      <c r="H379">
        <v>0</v>
      </c>
      <c r="I379">
        <v>462.21</v>
      </c>
      <c r="J379" t="s">
        <v>10</v>
      </c>
    </row>
    <row r="380" spans="1:10" x14ac:dyDescent="0.35">
      <c r="A380">
        <v>379</v>
      </c>
      <c r="B380">
        <v>59</v>
      </c>
      <c r="C380" t="s">
        <v>5</v>
      </c>
      <c r="D380" s="1">
        <v>45644</v>
      </c>
      <c r="E380" t="s">
        <v>11</v>
      </c>
      <c r="F380" t="s">
        <v>14</v>
      </c>
      <c r="G380" t="s">
        <v>3</v>
      </c>
      <c r="H380">
        <v>2</v>
      </c>
      <c r="I380">
        <v>325.86</v>
      </c>
      <c r="J380" t="s">
        <v>10</v>
      </c>
    </row>
    <row r="381" spans="1:10" x14ac:dyDescent="0.35">
      <c r="A381">
        <v>380</v>
      </c>
      <c r="B381">
        <v>73</v>
      </c>
      <c r="C381" t="s">
        <v>5</v>
      </c>
      <c r="D381" s="1">
        <v>45003</v>
      </c>
      <c r="E381" t="s">
        <v>6</v>
      </c>
      <c r="F381" t="s">
        <v>9</v>
      </c>
      <c r="G381" t="s">
        <v>3</v>
      </c>
      <c r="H381">
        <v>10</v>
      </c>
      <c r="I381">
        <v>482.82</v>
      </c>
      <c r="J381" t="s">
        <v>8</v>
      </c>
    </row>
    <row r="382" spans="1:10" x14ac:dyDescent="0.35">
      <c r="A382">
        <v>381</v>
      </c>
      <c r="B382">
        <v>41</v>
      </c>
      <c r="C382" t="s">
        <v>0</v>
      </c>
      <c r="D382" s="1">
        <v>45225</v>
      </c>
      <c r="E382" t="s">
        <v>19</v>
      </c>
      <c r="F382" t="s">
        <v>14</v>
      </c>
      <c r="G382" t="s">
        <v>18</v>
      </c>
      <c r="H382">
        <v>7</v>
      </c>
      <c r="I382">
        <v>150.54</v>
      </c>
      <c r="J382" t="s">
        <v>4</v>
      </c>
    </row>
    <row r="383" spans="1:10" x14ac:dyDescent="0.35">
      <c r="A383">
        <v>382</v>
      </c>
      <c r="B383">
        <v>75</v>
      </c>
      <c r="C383" t="s">
        <v>5</v>
      </c>
      <c r="D383" s="1">
        <v>45134</v>
      </c>
      <c r="E383" t="s">
        <v>1</v>
      </c>
      <c r="F383" t="s">
        <v>17</v>
      </c>
      <c r="G383" t="s">
        <v>15</v>
      </c>
      <c r="H383">
        <v>2</v>
      </c>
      <c r="I383">
        <v>235.79</v>
      </c>
      <c r="J383" t="s">
        <v>16</v>
      </c>
    </row>
    <row r="384" spans="1:10" x14ac:dyDescent="0.35">
      <c r="A384">
        <v>383</v>
      </c>
      <c r="B384">
        <v>69</v>
      </c>
      <c r="C384" t="s">
        <v>0</v>
      </c>
      <c r="D384" s="1">
        <v>45343</v>
      </c>
      <c r="E384" t="s">
        <v>1</v>
      </c>
      <c r="F384" t="s">
        <v>2</v>
      </c>
      <c r="G384" t="s">
        <v>3</v>
      </c>
      <c r="H384">
        <v>7</v>
      </c>
      <c r="I384">
        <v>167.99</v>
      </c>
      <c r="J384" t="s">
        <v>16</v>
      </c>
    </row>
    <row r="385" spans="1:10" x14ac:dyDescent="0.35">
      <c r="A385">
        <v>384</v>
      </c>
      <c r="B385">
        <v>21</v>
      </c>
      <c r="C385" t="s">
        <v>0</v>
      </c>
      <c r="D385" s="1">
        <v>45049</v>
      </c>
      <c r="E385" t="s">
        <v>11</v>
      </c>
      <c r="F385" t="s">
        <v>2</v>
      </c>
      <c r="G385" t="s">
        <v>3</v>
      </c>
      <c r="H385">
        <v>3</v>
      </c>
      <c r="I385">
        <v>421.24</v>
      </c>
      <c r="J385" t="s">
        <v>16</v>
      </c>
    </row>
    <row r="386" spans="1:10" x14ac:dyDescent="0.35">
      <c r="A386">
        <v>385</v>
      </c>
      <c r="B386">
        <v>32</v>
      </c>
      <c r="C386" t="s">
        <v>0</v>
      </c>
      <c r="D386" s="1">
        <v>45078</v>
      </c>
      <c r="E386" t="s">
        <v>6</v>
      </c>
      <c r="F386" t="s">
        <v>2</v>
      </c>
      <c r="G386" t="s">
        <v>3</v>
      </c>
      <c r="H386">
        <v>8</v>
      </c>
      <c r="I386">
        <v>43.5</v>
      </c>
      <c r="J386" t="s">
        <v>16</v>
      </c>
    </row>
    <row r="387" spans="1:10" x14ac:dyDescent="0.35">
      <c r="A387">
        <v>386</v>
      </c>
      <c r="B387">
        <v>4</v>
      </c>
      <c r="C387" t="s">
        <v>0</v>
      </c>
      <c r="D387" s="1">
        <v>45193</v>
      </c>
      <c r="E387" t="s">
        <v>6</v>
      </c>
      <c r="F387" t="s">
        <v>17</v>
      </c>
      <c r="G387" t="s">
        <v>3</v>
      </c>
      <c r="H387">
        <v>8</v>
      </c>
      <c r="I387">
        <v>139.93</v>
      </c>
      <c r="J387" t="s">
        <v>10</v>
      </c>
    </row>
    <row r="388" spans="1:10" x14ac:dyDescent="0.35">
      <c r="A388">
        <v>387</v>
      </c>
      <c r="B388">
        <v>16</v>
      </c>
      <c r="C388" t="s">
        <v>5</v>
      </c>
      <c r="D388" s="1">
        <v>45031</v>
      </c>
      <c r="E388" t="s">
        <v>11</v>
      </c>
      <c r="F388" t="s">
        <v>17</v>
      </c>
      <c r="G388" t="s">
        <v>13</v>
      </c>
      <c r="H388">
        <v>2</v>
      </c>
      <c r="I388">
        <v>115.1</v>
      </c>
      <c r="J388" t="s">
        <v>10</v>
      </c>
    </row>
    <row r="389" spans="1:10" x14ac:dyDescent="0.35">
      <c r="A389">
        <v>388</v>
      </c>
      <c r="B389">
        <v>81</v>
      </c>
      <c r="C389" t="s">
        <v>5</v>
      </c>
      <c r="D389" s="1">
        <v>45308</v>
      </c>
      <c r="E389" t="s">
        <v>19</v>
      </c>
      <c r="F389" t="s">
        <v>7</v>
      </c>
      <c r="G389" t="s">
        <v>3</v>
      </c>
      <c r="H389">
        <v>1</v>
      </c>
      <c r="I389">
        <v>30.46</v>
      </c>
      <c r="J389" t="s">
        <v>4</v>
      </c>
    </row>
    <row r="390" spans="1:10" x14ac:dyDescent="0.35">
      <c r="A390">
        <v>389</v>
      </c>
      <c r="B390">
        <v>57</v>
      </c>
      <c r="C390" t="s">
        <v>5</v>
      </c>
      <c r="D390" s="1">
        <v>45129</v>
      </c>
      <c r="E390" t="s">
        <v>11</v>
      </c>
      <c r="F390" t="s">
        <v>7</v>
      </c>
      <c r="G390" t="s">
        <v>3</v>
      </c>
      <c r="H390">
        <v>5</v>
      </c>
      <c r="I390">
        <v>78.81</v>
      </c>
      <c r="J390" t="s">
        <v>10</v>
      </c>
    </row>
    <row r="391" spans="1:10" x14ac:dyDescent="0.35">
      <c r="A391">
        <v>390</v>
      </c>
      <c r="B391">
        <v>74</v>
      </c>
      <c r="C391" t="s">
        <v>0</v>
      </c>
      <c r="D391" s="1">
        <v>44978</v>
      </c>
      <c r="E391" t="s">
        <v>6</v>
      </c>
      <c r="F391" t="s">
        <v>17</v>
      </c>
      <c r="G391" t="s">
        <v>20</v>
      </c>
      <c r="H391">
        <v>0</v>
      </c>
      <c r="I391">
        <v>203.71</v>
      </c>
      <c r="J391" t="s">
        <v>10</v>
      </c>
    </row>
    <row r="392" spans="1:10" x14ac:dyDescent="0.35">
      <c r="A392">
        <v>391</v>
      </c>
      <c r="B392">
        <v>28</v>
      </c>
      <c r="C392" t="s">
        <v>5</v>
      </c>
      <c r="D392" s="1">
        <v>45103</v>
      </c>
      <c r="E392" t="s">
        <v>19</v>
      </c>
      <c r="F392" t="s">
        <v>14</v>
      </c>
      <c r="G392" t="s">
        <v>18</v>
      </c>
      <c r="H392">
        <v>7</v>
      </c>
      <c r="I392">
        <v>444.04</v>
      </c>
      <c r="J392" t="s">
        <v>4</v>
      </c>
    </row>
    <row r="393" spans="1:10" x14ac:dyDescent="0.35">
      <c r="A393">
        <v>392</v>
      </c>
      <c r="B393">
        <v>79</v>
      </c>
      <c r="C393" t="s">
        <v>5</v>
      </c>
      <c r="D393" s="1">
        <v>45555</v>
      </c>
      <c r="E393" t="s">
        <v>19</v>
      </c>
      <c r="F393" t="s">
        <v>9</v>
      </c>
      <c r="G393" t="s">
        <v>3</v>
      </c>
      <c r="H393">
        <v>7</v>
      </c>
      <c r="I393">
        <v>217.76</v>
      </c>
      <c r="J393" t="s">
        <v>10</v>
      </c>
    </row>
    <row r="394" spans="1:10" x14ac:dyDescent="0.35">
      <c r="A394">
        <v>393</v>
      </c>
      <c r="B394">
        <v>36</v>
      </c>
      <c r="C394" t="s">
        <v>0</v>
      </c>
      <c r="D394" s="1">
        <v>44989</v>
      </c>
      <c r="E394" t="s">
        <v>1</v>
      </c>
      <c r="F394" t="s">
        <v>2</v>
      </c>
      <c r="G394" t="s">
        <v>3</v>
      </c>
      <c r="H394">
        <v>6</v>
      </c>
      <c r="I394">
        <v>115.74</v>
      </c>
      <c r="J394" t="s">
        <v>8</v>
      </c>
    </row>
    <row r="395" spans="1:10" x14ac:dyDescent="0.35">
      <c r="A395">
        <v>394</v>
      </c>
      <c r="B395">
        <v>3</v>
      </c>
      <c r="C395" t="s">
        <v>0</v>
      </c>
      <c r="D395" s="1">
        <v>45572</v>
      </c>
      <c r="E395" t="s">
        <v>19</v>
      </c>
      <c r="F395" t="s">
        <v>9</v>
      </c>
      <c r="G395" t="s">
        <v>3</v>
      </c>
      <c r="H395">
        <v>7</v>
      </c>
      <c r="I395">
        <v>281.37</v>
      </c>
      <c r="J395" t="s">
        <v>10</v>
      </c>
    </row>
    <row r="396" spans="1:10" x14ac:dyDescent="0.35">
      <c r="A396">
        <v>395</v>
      </c>
      <c r="B396">
        <v>65</v>
      </c>
      <c r="C396" t="s">
        <v>0</v>
      </c>
      <c r="D396" s="1">
        <v>45279</v>
      </c>
      <c r="E396" t="s">
        <v>6</v>
      </c>
      <c r="F396" t="s">
        <v>9</v>
      </c>
      <c r="G396" t="s">
        <v>3</v>
      </c>
      <c r="H396">
        <v>4</v>
      </c>
      <c r="I396">
        <v>106.31</v>
      </c>
      <c r="J396" t="s">
        <v>16</v>
      </c>
    </row>
    <row r="397" spans="1:10" x14ac:dyDescent="0.35">
      <c r="A397">
        <v>396</v>
      </c>
      <c r="B397">
        <v>4</v>
      </c>
      <c r="C397" t="s">
        <v>0</v>
      </c>
      <c r="D397" s="1">
        <v>45538</v>
      </c>
      <c r="E397" t="s">
        <v>11</v>
      </c>
      <c r="F397" t="s">
        <v>17</v>
      </c>
      <c r="G397" t="s">
        <v>20</v>
      </c>
      <c r="H397">
        <v>8</v>
      </c>
      <c r="I397">
        <v>191.57</v>
      </c>
      <c r="J397" t="s">
        <v>8</v>
      </c>
    </row>
    <row r="398" spans="1:10" x14ac:dyDescent="0.35">
      <c r="A398">
        <v>397</v>
      </c>
      <c r="B398">
        <v>32</v>
      </c>
      <c r="C398" t="s">
        <v>5</v>
      </c>
      <c r="D398" s="1">
        <v>45090</v>
      </c>
      <c r="E398" t="s">
        <v>19</v>
      </c>
      <c r="F398" t="s">
        <v>2</v>
      </c>
      <c r="G398" t="s">
        <v>3</v>
      </c>
      <c r="H398">
        <v>8</v>
      </c>
      <c r="I398">
        <v>411.82</v>
      </c>
      <c r="J398" t="s">
        <v>4</v>
      </c>
    </row>
    <row r="399" spans="1:10" x14ac:dyDescent="0.35">
      <c r="A399">
        <v>398</v>
      </c>
      <c r="B399">
        <v>50</v>
      </c>
      <c r="C399" t="s">
        <v>0</v>
      </c>
      <c r="D399" s="1">
        <v>45151</v>
      </c>
      <c r="E399" t="s">
        <v>1</v>
      </c>
      <c r="F399" t="s">
        <v>9</v>
      </c>
      <c r="G399" t="s">
        <v>3</v>
      </c>
      <c r="H399">
        <v>2</v>
      </c>
      <c r="I399">
        <v>133.54</v>
      </c>
      <c r="J399" t="s">
        <v>16</v>
      </c>
    </row>
    <row r="400" spans="1:10" x14ac:dyDescent="0.35">
      <c r="A400">
        <v>399</v>
      </c>
      <c r="B400">
        <v>76</v>
      </c>
      <c r="C400" t="s">
        <v>5</v>
      </c>
      <c r="D400" s="1">
        <v>45641</v>
      </c>
      <c r="E400" t="s">
        <v>19</v>
      </c>
      <c r="F400" t="s">
        <v>14</v>
      </c>
      <c r="G400" t="s">
        <v>3</v>
      </c>
      <c r="H400">
        <v>9</v>
      </c>
      <c r="I400">
        <v>88.21</v>
      </c>
      <c r="J400" t="s">
        <v>8</v>
      </c>
    </row>
    <row r="401" spans="1:10" x14ac:dyDescent="0.35">
      <c r="A401">
        <v>400</v>
      </c>
      <c r="B401">
        <v>40</v>
      </c>
      <c r="C401" t="s">
        <v>5</v>
      </c>
      <c r="D401" s="1">
        <v>45431</v>
      </c>
      <c r="E401" t="s">
        <v>6</v>
      </c>
      <c r="F401" t="s">
        <v>9</v>
      </c>
      <c r="G401" t="s">
        <v>3</v>
      </c>
      <c r="H401">
        <v>0</v>
      </c>
      <c r="I401">
        <v>63.32</v>
      </c>
      <c r="J401" t="s">
        <v>8</v>
      </c>
    </row>
    <row r="402" spans="1:10" x14ac:dyDescent="0.35">
      <c r="A402">
        <v>401</v>
      </c>
      <c r="B402">
        <v>3</v>
      </c>
      <c r="C402" t="s">
        <v>0</v>
      </c>
      <c r="D402" s="1">
        <v>45543</v>
      </c>
      <c r="E402" t="s">
        <v>11</v>
      </c>
      <c r="F402" t="s">
        <v>17</v>
      </c>
      <c r="G402" t="s">
        <v>18</v>
      </c>
      <c r="H402">
        <v>9</v>
      </c>
      <c r="I402">
        <v>116.7</v>
      </c>
      <c r="J402" t="s">
        <v>8</v>
      </c>
    </row>
    <row r="403" spans="1:10" x14ac:dyDescent="0.35">
      <c r="A403">
        <v>402</v>
      </c>
      <c r="B403">
        <v>23</v>
      </c>
      <c r="C403" t="s">
        <v>0</v>
      </c>
      <c r="D403" s="1">
        <v>45275</v>
      </c>
      <c r="E403" t="s">
        <v>11</v>
      </c>
      <c r="F403" t="s">
        <v>7</v>
      </c>
      <c r="G403" t="s">
        <v>3</v>
      </c>
      <c r="H403">
        <v>0</v>
      </c>
      <c r="I403">
        <v>90.9</v>
      </c>
      <c r="J403" t="s">
        <v>8</v>
      </c>
    </row>
    <row r="404" spans="1:10" x14ac:dyDescent="0.35">
      <c r="A404">
        <v>403</v>
      </c>
      <c r="B404">
        <v>47</v>
      </c>
      <c r="C404" t="s">
        <v>5</v>
      </c>
      <c r="D404" s="1">
        <v>45040</v>
      </c>
      <c r="E404" t="s">
        <v>19</v>
      </c>
      <c r="F404" t="s">
        <v>9</v>
      </c>
      <c r="G404" t="s">
        <v>3</v>
      </c>
      <c r="H404">
        <v>10</v>
      </c>
      <c r="I404">
        <v>209.89</v>
      </c>
      <c r="J404" t="s">
        <v>4</v>
      </c>
    </row>
    <row r="405" spans="1:10" x14ac:dyDescent="0.35">
      <c r="A405">
        <v>404</v>
      </c>
      <c r="B405">
        <v>42</v>
      </c>
      <c r="C405" t="s">
        <v>5</v>
      </c>
      <c r="D405" s="1">
        <v>45271</v>
      </c>
      <c r="E405" t="s">
        <v>1</v>
      </c>
      <c r="F405" t="s">
        <v>14</v>
      </c>
      <c r="G405" t="s">
        <v>20</v>
      </c>
      <c r="H405">
        <v>10</v>
      </c>
      <c r="I405">
        <v>481.12</v>
      </c>
      <c r="J405" t="s">
        <v>16</v>
      </c>
    </row>
    <row r="406" spans="1:10" x14ac:dyDescent="0.35">
      <c r="A406">
        <v>405</v>
      </c>
      <c r="B406">
        <v>72</v>
      </c>
      <c r="C406" t="s">
        <v>0</v>
      </c>
      <c r="D406" s="1">
        <v>45105</v>
      </c>
      <c r="E406" t="s">
        <v>1</v>
      </c>
      <c r="F406" t="s">
        <v>7</v>
      </c>
      <c r="G406" t="s">
        <v>3</v>
      </c>
      <c r="H406">
        <v>10</v>
      </c>
      <c r="I406">
        <v>302.7</v>
      </c>
      <c r="J406" t="s">
        <v>8</v>
      </c>
    </row>
    <row r="407" spans="1:10" x14ac:dyDescent="0.35">
      <c r="A407">
        <v>406</v>
      </c>
      <c r="B407">
        <v>38</v>
      </c>
      <c r="C407" t="s">
        <v>5</v>
      </c>
      <c r="D407" s="1">
        <v>45314</v>
      </c>
      <c r="E407" t="s">
        <v>1</v>
      </c>
      <c r="F407" t="s">
        <v>14</v>
      </c>
      <c r="G407" t="s">
        <v>15</v>
      </c>
      <c r="H407">
        <v>9</v>
      </c>
      <c r="I407">
        <v>207.97</v>
      </c>
      <c r="J407" t="s">
        <v>4</v>
      </c>
    </row>
    <row r="408" spans="1:10" x14ac:dyDescent="0.35">
      <c r="A408">
        <v>407</v>
      </c>
      <c r="B408">
        <v>41</v>
      </c>
      <c r="C408" t="s">
        <v>5</v>
      </c>
      <c r="D408" s="1">
        <v>45113</v>
      </c>
      <c r="E408" t="s">
        <v>11</v>
      </c>
      <c r="F408" t="s">
        <v>9</v>
      </c>
      <c r="G408" t="s">
        <v>3</v>
      </c>
      <c r="H408">
        <v>7</v>
      </c>
      <c r="I408">
        <v>87.51</v>
      </c>
      <c r="J408" t="s">
        <v>4</v>
      </c>
    </row>
    <row r="409" spans="1:10" x14ac:dyDescent="0.35">
      <c r="A409">
        <v>408</v>
      </c>
      <c r="B409">
        <v>41</v>
      </c>
      <c r="C409" t="s">
        <v>5</v>
      </c>
      <c r="D409" s="1">
        <v>45170</v>
      </c>
      <c r="E409" t="s">
        <v>11</v>
      </c>
      <c r="F409" t="s">
        <v>14</v>
      </c>
      <c r="G409" t="s">
        <v>18</v>
      </c>
      <c r="H409">
        <v>7</v>
      </c>
      <c r="I409">
        <v>25.47</v>
      </c>
      <c r="J409" t="s">
        <v>8</v>
      </c>
    </row>
    <row r="410" spans="1:10" x14ac:dyDescent="0.35">
      <c r="A410">
        <v>409</v>
      </c>
      <c r="B410">
        <v>9</v>
      </c>
      <c r="C410" t="s">
        <v>0</v>
      </c>
      <c r="D410" s="1">
        <v>45182</v>
      </c>
      <c r="E410" t="s">
        <v>19</v>
      </c>
      <c r="F410" t="s">
        <v>7</v>
      </c>
      <c r="G410" t="s">
        <v>3</v>
      </c>
      <c r="H410">
        <v>1</v>
      </c>
      <c r="I410">
        <v>365.8</v>
      </c>
      <c r="J410" t="s">
        <v>4</v>
      </c>
    </row>
    <row r="411" spans="1:10" x14ac:dyDescent="0.35">
      <c r="A411">
        <v>410</v>
      </c>
      <c r="B411">
        <v>54</v>
      </c>
      <c r="C411" t="s">
        <v>5</v>
      </c>
      <c r="D411" s="1">
        <v>45322</v>
      </c>
      <c r="E411" t="s">
        <v>6</v>
      </c>
      <c r="F411" t="s">
        <v>12</v>
      </c>
      <c r="G411" t="s">
        <v>20</v>
      </c>
      <c r="H411">
        <v>6</v>
      </c>
      <c r="I411">
        <v>188.59</v>
      </c>
      <c r="J411" t="s">
        <v>10</v>
      </c>
    </row>
    <row r="412" spans="1:10" x14ac:dyDescent="0.35">
      <c r="A412">
        <v>411</v>
      </c>
      <c r="B412">
        <v>74</v>
      </c>
      <c r="C412" t="s">
        <v>5</v>
      </c>
      <c r="D412" s="1">
        <v>45030</v>
      </c>
      <c r="E412" t="s">
        <v>1</v>
      </c>
      <c r="F412" t="s">
        <v>12</v>
      </c>
      <c r="G412" t="s">
        <v>20</v>
      </c>
      <c r="H412">
        <v>1</v>
      </c>
      <c r="I412">
        <v>403.61</v>
      </c>
      <c r="J412" t="s">
        <v>4</v>
      </c>
    </row>
    <row r="413" spans="1:10" x14ac:dyDescent="0.35">
      <c r="A413">
        <v>412</v>
      </c>
      <c r="B413">
        <v>41</v>
      </c>
      <c r="C413" t="s">
        <v>0</v>
      </c>
      <c r="D413" s="1">
        <v>45228</v>
      </c>
      <c r="E413" t="s">
        <v>11</v>
      </c>
      <c r="F413" t="s">
        <v>2</v>
      </c>
      <c r="G413" t="s">
        <v>3</v>
      </c>
      <c r="H413">
        <v>1</v>
      </c>
      <c r="I413">
        <v>184.07</v>
      </c>
      <c r="J413" t="s">
        <v>10</v>
      </c>
    </row>
    <row r="414" spans="1:10" x14ac:dyDescent="0.35">
      <c r="A414">
        <v>413</v>
      </c>
      <c r="B414">
        <v>10</v>
      </c>
      <c r="C414" t="s">
        <v>5</v>
      </c>
      <c r="D414" s="1">
        <v>45091</v>
      </c>
      <c r="E414" t="s">
        <v>19</v>
      </c>
      <c r="F414" t="s">
        <v>7</v>
      </c>
      <c r="G414" t="s">
        <v>3</v>
      </c>
      <c r="H414">
        <v>9</v>
      </c>
      <c r="I414">
        <v>492.93</v>
      </c>
      <c r="J414" t="s">
        <v>10</v>
      </c>
    </row>
    <row r="415" spans="1:10" x14ac:dyDescent="0.35">
      <c r="A415">
        <v>414</v>
      </c>
      <c r="B415">
        <v>56</v>
      </c>
      <c r="C415" t="s">
        <v>5</v>
      </c>
      <c r="D415" s="1">
        <v>45648</v>
      </c>
      <c r="E415" t="s">
        <v>6</v>
      </c>
      <c r="F415" t="s">
        <v>2</v>
      </c>
      <c r="G415" t="s">
        <v>3</v>
      </c>
      <c r="H415">
        <v>2</v>
      </c>
      <c r="I415">
        <v>45.71</v>
      </c>
      <c r="J415" t="s">
        <v>16</v>
      </c>
    </row>
    <row r="416" spans="1:10" x14ac:dyDescent="0.35">
      <c r="A416">
        <v>415</v>
      </c>
      <c r="B416">
        <v>53</v>
      </c>
      <c r="C416" t="s">
        <v>0</v>
      </c>
      <c r="D416" s="1">
        <v>45137</v>
      </c>
      <c r="E416" t="s">
        <v>19</v>
      </c>
      <c r="F416" t="s">
        <v>17</v>
      </c>
      <c r="G416" t="s">
        <v>18</v>
      </c>
      <c r="H416">
        <v>3</v>
      </c>
      <c r="I416">
        <v>66.040000000000006</v>
      </c>
      <c r="J416" t="s">
        <v>10</v>
      </c>
    </row>
    <row r="417" spans="1:10" x14ac:dyDescent="0.35">
      <c r="A417">
        <v>416</v>
      </c>
      <c r="B417">
        <v>63</v>
      </c>
      <c r="C417" t="s">
        <v>5</v>
      </c>
      <c r="D417" s="1">
        <v>45512</v>
      </c>
      <c r="E417" t="s">
        <v>11</v>
      </c>
      <c r="F417" t="s">
        <v>9</v>
      </c>
      <c r="G417" t="s">
        <v>3</v>
      </c>
      <c r="H417">
        <v>5</v>
      </c>
      <c r="I417">
        <v>21.83</v>
      </c>
      <c r="J417" t="s">
        <v>4</v>
      </c>
    </row>
    <row r="418" spans="1:10" x14ac:dyDescent="0.35">
      <c r="A418">
        <v>417</v>
      </c>
      <c r="B418">
        <v>81</v>
      </c>
      <c r="C418" t="s">
        <v>0</v>
      </c>
      <c r="D418" s="1">
        <v>45228</v>
      </c>
      <c r="E418" t="s">
        <v>1</v>
      </c>
      <c r="F418" t="s">
        <v>7</v>
      </c>
      <c r="G418" t="s">
        <v>3</v>
      </c>
      <c r="H418">
        <v>1</v>
      </c>
      <c r="I418">
        <v>32.35</v>
      </c>
      <c r="J418" t="s">
        <v>8</v>
      </c>
    </row>
    <row r="419" spans="1:10" x14ac:dyDescent="0.35">
      <c r="A419">
        <v>418</v>
      </c>
      <c r="B419">
        <v>11</v>
      </c>
      <c r="C419" t="s">
        <v>0</v>
      </c>
      <c r="D419" s="1">
        <v>45580</v>
      </c>
      <c r="E419" t="s">
        <v>11</v>
      </c>
      <c r="F419" t="s">
        <v>14</v>
      </c>
      <c r="G419" t="s">
        <v>18</v>
      </c>
      <c r="H419">
        <v>6</v>
      </c>
      <c r="I419">
        <v>246.05</v>
      </c>
      <c r="J419" t="s">
        <v>16</v>
      </c>
    </row>
    <row r="420" spans="1:10" x14ac:dyDescent="0.35">
      <c r="A420">
        <v>419</v>
      </c>
      <c r="B420">
        <v>70</v>
      </c>
      <c r="C420" t="s">
        <v>0</v>
      </c>
      <c r="D420" s="1">
        <v>45020</v>
      </c>
      <c r="E420" t="s">
        <v>1</v>
      </c>
      <c r="F420" t="s">
        <v>7</v>
      </c>
      <c r="G420" t="s">
        <v>3</v>
      </c>
      <c r="H420">
        <v>5</v>
      </c>
      <c r="I420">
        <v>445.04</v>
      </c>
      <c r="J420" t="s">
        <v>16</v>
      </c>
    </row>
    <row r="421" spans="1:10" x14ac:dyDescent="0.35">
      <c r="A421">
        <v>420</v>
      </c>
      <c r="B421">
        <v>6</v>
      </c>
      <c r="C421" t="s">
        <v>0</v>
      </c>
      <c r="D421" s="1">
        <v>45118</v>
      </c>
      <c r="E421" t="s">
        <v>6</v>
      </c>
      <c r="F421" t="s">
        <v>12</v>
      </c>
      <c r="G421" t="s">
        <v>20</v>
      </c>
      <c r="H421">
        <v>4</v>
      </c>
      <c r="I421">
        <v>128.6</v>
      </c>
      <c r="J421" t="s">
        <v>16</v>
      </c>
    </row>
    <row r="422" spans="1:10" x14ac:dyDescent="0.35">
      <c r="A422">
        <v>421</v>
      </c>
      <c r="B422">
        <v>20</v>
      </c>
      <c r="C422" t="s">
        <v>5</v>
      </c>
      <c r="D422" s="1">
        <v>45504</v>
      </c>
      <c r="E422" t="s">
        <v>11</v>
      </c>
      <c r="F422" t="s">
        <v>2</v>
      </c>
      <c r="G422" t="s">
        <v>3</v>
      </c>
      <c r="H422">
        <v>10</v>
      </c>
      <c r="I422">
        <v>185.02</v>
      </c>
      <c r="J422" t="s">
        <v>10</v>
      </c>
    </row>
    <row r="423" spans="1:10" x14ac:dyDescent="0.35">
      <c r="A423">
        <v>422</v>
      </c>
      <c r="B423">
        <v>71</v>
      </c>
      <c r="C423" t="s">
        <v>5</v>
      </c>
      <c r="D423" s="1">
        <v>45530</v>
      </c>
      <c r="E423" t="s">
        <v>6</v>
      </c>
      <c r="F423" t="s">
        <v>17</v>
      </c>
      <c r="G423" t="s">
        <v>3</v>
      </c>
      <c r="H423">
        <v>6</v>
      </c>
      <c r="I423">
        <v>483.5</v>
      </c>
      <c r="J423" t="s">
        <v>10</v>
      </c>
    </row>
    <row r="424" spans="1:10" x14ac:dyDescent="0.35">
      <c r="A424">
        <v>423</v>
      </c>
      <c r="B424">
        <v>61</v>
      </c>
      <c r="C424" t="s">
        <v>0</v>
      </c>
      <c r="D424" s="1">
        <v>45513</v>
      </c>
      <c r="E424" t="s">
        <v>11</v>
      </c>
      <c r="F424" t="s">
        <v>17</v>
      </c>
      <c r="G424" t="s">
        <v>20</v>
      </c>
      <c r="H424">
        <v>0</v>
      </c>
      <c r="I424">
        <v>261.01</v>
      </c>
      <c r="J424" t="s">
        <v>8</v>
      </c>
    </row>
    <row r="425" spans="1:10" x14ac:dyDescent="0.35">
      <c r="A425">
        <v>424</v>
      </c>
      <c r="B425">
        <v>23</v>
      </c>
      <c r="C425" t="s">
        <v>5</v>
      </c>
      <c r="D425" s="1">
        <v>45050</v>
      </c>
      <c r="E425" t="s">
        <v>1</v>
      </c>
      <c r="F425" t="s">
        <v>12</v>
      </c>
      <c r="G425" t="s">
        <v>13</v>
      </c>
      <c r="H425">
        <v>2</v>
      </c>
      <c r="I425">
        <v>40.479999999999997</v>
      </c>
      <c r="J425" t="s">
        <v>4</v>
      </c>
    </row>
    <row r="426" spans="1:10" x14ac:dyDescent="0.35">
      <c r="A426">
        <v>425</v>
      </c>
      <c r="B426">
        <v>26</v>
      </c>
      <c r="C426" t="s">
        <v>5</v>
      </c>
      <c r="D426" s="1">
        <v>45626</v>
      </c>
      <c r="E426" t="s">
        <v>19</v>
      </c>
      <c r="F426" t="s">
        <v>12</v>
      </c>
      <c r="G426" t="s">
        <v>18</v>
      </c>
      <c r="H426">
        <v>1</v>
      </c>
      <c r="I426">
        <v>61.77</v>
      </c>
      <c r="J426" t="s">
        <v>10</v>
      </c>
    </row>
    <row r="427" spans="1:10" x14ac:dyDescent="0.35">
      <c r="A427">
        <v>426</v>
      </c>
      <c r="B427">
        <v>36</v>
      </c>
      <c r="C427" t="s">
        <v>0</v>
      </c>
      <c r="D427" s="1">
        <v>45492</v>
      </c>
      <c r="E427" t="s">
        <v>11</v>
      </c>
      <c r="F427" t="s">
        <v>14</v>
      </c>
      <c r="G427" t="s">
        <v>3</v>
      </c>
      <c r="H427">
        <v>9</v>
      </c>
      <c r="I427">
        <v>270.83</v>
      </c>
      <c r="J427" t="s">
        <v>10</v>
      </c>
    </row>
    <row r="428" spans="1:10" x14ac:dyDescent="0.35">
      <c r="A428">
        <v>427</v>
      </c>
      <c r="B428">
        <v>20</v>
      </c>
      <c r="C428" t="s">
        <v>5</v>
      </c>
      <c r="D428" s="1">
        <v>45042</v>
      </c>
      <c r="E428" t="s">
        <v>11</v>
      </c>
      <c r="F428" t="s">
        <v>12</v>
      </c>
      <c r="G428" t="s">
        <v>15</v>
      </c>
      <c r="H428">
        <v>9</v>
      </c>
      <c r="I428">
        <v>394.18</v>
      </c>
      <c r="J428" t="s">
        <v>16</v>
      </c>
    </row>
    <row r="429" spans="1:10" x14ac:dyDescent="0.35">
      <c r="A429">
        <v>428</v>
      </c>
      <c r="B429">
        <v>53</v>
      </c>
      <c r="C429" t="s">
        <v>0</v>
      </c>
      <c r="D429" s="1">
        <v>45475</v>
      </c>
      <c r="E429" t="s">
        <v>6</v>
      </c>
      <c r="F429" t="s">
        <v>14</v>
      </c>
      <c r="G429" t="s">
        <v>20</v>
      </c>
      <c r="H429">
        <v>9</v>
      </c>
      <c r="I429">
        <v>312.3</v>
      </c>
      <c r="J429" t="s">
        <v>4</v>
      </c>
    </row>
    <row r="430" spans="1:10" x14ac:dyDescent="0.35">
      <c r="A430">
        <v>429</v>
      </c>
      <c r="B430">
        <v>52</v>
      </c>
      <c r="C430" t="s">
        <v>5</v>
      </c>
      <c r="D430" s="1">
        <v>45103</v>
      </c>
      <c r="E430" t="s">
        <v>6</v>
      </c>
      <c r="F430" t="s">
        <v>14</v>
      </c>
      <c r="G430" t="s">
        <v>15</v>
      </c>
      <c r="H430">
        <v>6</v>
      </c>
      <c r="I430">
        <v>447</v>
      </c>
      <c r="J430" t="s">
        <v>16</v>
      </c>
    </row>
    <row r="431" spans="1:10" x14ac:dyDescent="0.35">
      <c r="A431">
        <v>430</v>
      </c>
      <c r="B431">
        <v>7</v>
      </c>
      <c r="C431" t="s">
        <v>0</v>
      </c>
      <c r="D431" s="1">
        <v>45634</v>
      </c>
      <c r="E431" t="s">
        <v>19</v>
      </c>
      <c r="F431" t="s">
        <v>17</v>
      </c>
      <c r="G431" t="s">
        <v>18</v>
      </c>
      <c r="H431">
        <v>0</v>
      </c>
      <c r="I431">
        <v>182.18</v>
      </c>
      <c r="J431" t="s">
        <v>16</v>
      </c>
    </row>
    <row r="432" spans="1:10" x14ac:dyDescent="0.35">
      <c r="A432">
        <v>431</v>
      </c>
      <c r="B432">
        <v>63</v>
      </c>
      <c r="C432" t="s">
        <v>5</v>
      </c>
      <c r="D432" s="1">
        <v>45245</v>
      </c>
      <c r="E432" t="s">
        <v>1</v>
      </c>
      <c r="F432" t="s">
        <v>14</v>
      </c>
      <c r="G432" t="s">
        <v>13</v>
      </c>
      <c r="H432">
        <v>4</v>
      </c>
      <c r="I432">
        <v>487.63</v>
      </c>
      <c r="J432" t="s">
        <v>10</v>
      </c>
    </row>
    <row r="433" spans="1:10" x14ac:dyDescent="0.35">
      <c r="A433">
        <v>432</v>
      </c>
      <c r="B433">
        <v>54</v>
      </c>
      <c r="C433" t="s">
        <v>5</v>
      </c>
      <c r="D433" s="1">
        <v>45255</v>
      </c>
      <c r="E433" t="s">
        <v>1</v>
      </c>
      <c r="F433" t="s">
        <v>14</v>
      </c>
      <c r="G433" t="s">
        <v>20</v>
      </c>
      <c r="H433">
        <v>3</v>
      </c>
      <c r="I433">
        <v>458.45</v>
      </c>
      <c r="J433" t="s">
        <v>10</v>
      </c>
    </row>
    <row r="434" spans="1:10" x14ac:dyDescent="0.35">
      <c r="A434">
        <v>433</v>
      </c>
      <c r="B434">
        <v>48</v>
      </c>
      <c r="C434" t="s">
        <v>5</v>
      </c>
      <c r="D434" s="1">
        <v>45423</v>
      </c>
      <c r="E434" t="s">
        <v>1</v>
      </c>
      <c r="F434" t="s">
        <v>9</v>
      </c>
      <c r="G434" t="s">
        <v>3</v>
      </c>
      <c r="H434">
        <v>1</v>
      </c>
      <c r="I434">
        <v>169.34</v>
      </c>
      <c r="J434" t="s">
        <v>10</v>
      </c>
    </row>
    <row r="435" spans="1:10" x14ac:dyDescent="0.35">
      <c r="A435">
        <v>434</v>
      </c>
      <c r="B435">
        <v>73</v>
      </c>
      <c r="C435" t="s">
        <v>5</v>
      </c>
      <c r="D435" s="1">
        <v>45065</v>
      </c>
      <c r="E435" t="s">
        <v>1</v>
      </c>
      <c r="F435" t="s">
        <v>9</v>
      </c>
      <c r="G435" t="s">
        <v>3</v>
      </c>
      <c r="H435">
        <v>3</v>
      </c>
      <c r="I435">
        <v>440.09</v>
      </c>
      <c r="J435" t="s">
        <v>8</v>
      </c>
    </row>
    <row r="436" spans="1:10" x14ac:dyDescent="0.35">
      <c r="A436">
        <v>435</v>
      </c>
      <c r="B436">
        <v>5</v>
      </c>
      <c r="C436" t="s">
        <v>0</v>
      </c>
      <c r="D436" s="1">
        <v>44986</v>
      </c>
      <c r="E436" t="s">
        <v>11</v>
      </c>
      <c r="F436" t="s">
        <v>17</v>
      </c>
      <c r="G436" t="s">
        <v>18</v>
      </c>
      <c r="H436">
        <v>3</v>
      </c>
      <c r="I436">
        <v>151.51</v>
      </c>
      <c r="J436" t="s">
        <v>10</v>
      </c>
    </row>
    <row r="437" spans="1:10" x14ac:dyDescent="0.35">
      <c r="A437">
        <v>436</v>
      </c>
      <c r="B437">
        <v>82</v>
      </c>
      <c r="C437" t="s">
        <v>5</v>
      </c>
      <c r="D437" s="1">
        <v>45444</v>
      </c>
      <c r="E437" t="s">
        <v>11</v>
      </c>
      <c r="F437" t="s">
        <v>12</v>
      </c>
      <c r="G437" t="s">
        <v>13</v>
      </c>
      <c r="H437">
        <v>5</v>
      </c>
      <c r="I437">
        <v>254.62</v>
      </c>
      <c r="J437" t="s">
        <v>10</v>
      </c>
    </row>
    <row r="438" spans="1:10" x14ac:dyDescent="0.35">
      <c r="A438">
        <v>437</v>
      </c>
      <c r="B438">
        <v>76</v>
      </c>
      <c r="C438" t="s">
        <v>0</v>
      </c>
      <c r="D438" s="1">
        <v>45108</v>
      </c>
      <c r="E438" t="s">
        <v>19</v>
      </c>
      <c r="F438" t="s">
        <v>12</v>
      </c>
      <c r="G438" t="s">
        <v>13</v>
      </c>
      <c r="H438">
        <v>4</v>
      </c>
      <c r="I438">
        <v>379.5</v>
      </c>
      <c r="J438" t="s">
        <v>4</v>
      </c>
    </row>
    <row r="439" spans="1:10" x14ac:dyDescent="0.35">
      <c r="A439">
        <v>438</v>
      </c>
      <c r="B439">
        <v>50</v>
      </c>
      <c r="C439" t="s">
        <v>5</v>
      </c>
      <c r="D439" s="1">
        <v>45218</v>
      </c>
      <c r="E439" t="s">
        <v>1</v>
      </c>
      <c r="F439" t="s">
        <v>2</v>
      </c>
      <c r="G439" t="s">
        <v>3</v>
      </c>
      <c r="H439">
        <v>9</v>
      </c>
      <c r="I439">
        <v>394.32</v>
      </c>
      <c r="J439" t="s">
        <v>8</v>
      </c>
    </row>
    <row r="440" spans="1:10" x14ac:dyDescent="0.35">
      <c r="A440">
        <v>439</v>
      </c>
      <c r="B440">
        <v>29</v>
      </c>
      <c r="C440" t="s">
        <v>5</v>
      </c>
      <c r="D440" s="1">
        <v>45153</v>
      </c>
      <c r="E440" t="s">
        <v>19</v>
      </c>
      <c r="F440" t="s">
        <v>7</v>
      </c>
      <c r="G440" t="s">
        <v>3</v>
      </c>
      <c r="H440">
        <v>10</v>
      </c>
      <c r="I440">
        <v>216.56</v>
      </c>
      <c r="J440" t="s">
        <v>4</v>
      </c>
    </row>
    <row r="441" spans="1:10" x14ac:dyDescent="0.35">
      <c r="A441">
        <v>440</v>
      </c>
      <c r="B441">
        <v>61</v>
      </c>
      <c r="C441" t="s">
        <v>5</v>
      </c>
      <c r="D441" s="1">
        <v>45625</v>
      </c>
      <c r="E441" t="s">
        <v>1</v>
      </c>
      <c r="F441" t="s">
        <v>2</v>
      </c>
      <c r="G441" t="s">
        <v>3</v>
      </c>
      <c r="H441">
        <v>9</v>
      </c>
      <c r="I441">
        <v>404.42</v>
      </c>
      <c r="J441" t="s">
        <v>8</v>
      </c>
    </row>
    <row r="442" spans="1:10" x14ac:dyDescent="0.35">
      <c r="A442">
        <v>441</v>
      </c>
      <c r="B442">
        <v>40</v>
      </c>
      <c r="C442" t="s">
        <v>0</v>
      </c>
      <c r="D442" s="1">
        <v>45185</v>
      </c>
      <c r="E442" t="s">
        <v>6</v>
      </c>
      <c r="F442" t="s">
        <v>9</v>
      </c>
      <c r="G442" t="s">
        <v>3</v>
      </c>
      <c r="H442">
        <v>6</v>
      </c>
      <c r="I442">
        <v>428.76</v>
      </c>
      <c r="J442" t="s">
        <v>10</v>
      </c>
    </row>
    <row r="443" spans="1:10" x14ac:dyDescent="0.35">
      <c r="A443">
        <v>442</v>
      </c>
      <c r="B443">
        <v>60</v>
      </c>
      <c r="C443" t="s">
        <v>0</v>
      </c>
      <c r="D443" s="1">
        <v>45185</v>
      </c>
      <c r="E443" t="s">
        <v>6</v>
      </c>
      <c r="F443" t="s">
        <v>17</v>
      </c>
      <c r="G443" t="s">
        <v>3</v>
      </c>
      <c r="H443">
        <v>1</v>
      </c>
      <c r="I443">
        <v>23.53</v>
      </c>
      <c r="J443" t="s">
        <v>16</v>
      </c>
    </row>
    <row r="444" spans="1:10" x14ac:dyDescent="0.35">
      <c r="A444">
        <v>443</v>
      </c>
      <c r="B444">
        <v>77</v>
      </c>
      <c r="C444" t="s">
        <v>0</v>
      </c>
      <c r="D444" s="1">
        <v>45501</v>
      </c>
      <c r="E444" t="s">
        <v>19</v>
      </c>
      <c r="F444" t="s">
        <v>7</v>
      </c>
      <c r="G444" t="s">
        <v>3</v>
      </c>
      <c r="H444">
        <v>10</v>
      </c>
      <c r="I444">
        <v>71.89</v>
      </c>
      <c r="J444" t="s">
        <v>4</v>
      </c>
    </row>
    <row r="445" spans="1:10" x14ac:dyDescent="0.35">
      <c r="A445">
        <v>444</v>
      </c>
      <c r="B445">
        <v>82</v>
      </c>
      <c r="C445" t="s">
        <v>0</v>
      </c>
      <c r="D445" s="1">
        <v>45271</v>
      </c>
      <c r="E445" t="s">
        <v>19</v>
      </c>
      <c r="F445" t="s">
        <v>14</v>
      </c>
      <c r="G445" t="s">
        <v>18</v>
      </c>
      <c r="H445">
        <v>10</v>
      </c>
      <c r="I445">
        <v>361.33</v>
      </c>
      <c r="J445" t="s">
        <v>16</v>
      </c>
    </row>
    <row r="446" spans="1:10" x14ac:dyDescent="0.35">
      <c r="A446">
        <v>445</v>
      </c>
      <c r="B446">
        <v>67</v>
      </c>
      <c r="C446" t="s">
        <v>5</v>
      </c>
      <c r="D446" s="1">
        <v>45119</v>
      </c>
      <c r="E446" t="s">
        <v>11</v>
      </c>
      <c r="F446" t="s">
        <v>17</v>
      </c>
      <c r="G446" t="s">
        <v>3</v>
      </c>
      <c r="H446">
        <v>6</v>
      </c>
      <c r="I446">
        <v>337.05</v>
      </c>
      <c r="J446" t="s">
        <v>8</v>
      </c>
    </row>
    <row r="447" spans="1:10" x14ac:dyDescent="0.35">
      <c r="A447">
        <v>446</v>
      </c>
      <c r="B447">
        <v>64</v>
      </c>
      <c r="C447" t="s">
        <v>0</v>
      </c>
      <c r="D447" s="1">
        <v>44953</v>
      </c>
      <c r="E447" t="s">
        <v>19</v>
      </c>
      <c r="F447" t="s">
        <v>7</v>
      </c>
      <c r="G447" t="s">
        <v>3</v>
      </c>
      <c r="H447">
        <v>6</v>
      </c>
      <c r="I447">
        <v>214.21</v>
      </c>
      <c r="J447" t="s">
        <v>4</v>
      </c>
    </row>
    <row r="448" spans="1:10" x14ac:dyDescent="0.35">
      <c r="A448">
        <v>447</v>
      </c>
      <c r="B448">
        <v>74</v>
      </c>
      <c r="C448" t="s">
        <v>5</v>
      </c>
      <c r="D448" s="1">
        <v>45524</v>
      </c>
      <c r="E448" t="s">
        <v>19</v>
      </c>
      <c r="F448" t="s">
        <v>7</v>
      </c>
      <c r="G448" t="s">
        <v>3</v>
      </c>
      <c r="H448">
        <v>3</v>
      </c>
      <c r="I448">
        <v>349.43</v>
      </c>
      <c r="J448" t="s">
        <v>10</v>
      </c>
    </row>
    <row r="449" spans="1:10" x14ac:dyDescent="0.35">
      <c r="A449">
        <v>448</v>
      </c>
      <c r="B449">
        <v>65</v>
      </c>
      <c r="C449" t="s">
        <v>0</v>
      </c>
      <c r="D449" s="1">
        <v>45614</v>
      </c>
      <c r="E449" t="s">
        <v>1</v>
      </c>
      <c r="F449" t="s">
        <v>14</v>
      </c>
      <c r="G449" t="s">
        <v>3</v>
      </c>
      <c r="H449">
        <v>2</v>
      </c>
      <c r="I449">
        <v>161.02000000000001</v>
      </c>
      <c r="J449" t="s">
        <v>10</v>
      </c>
    </row>
    <row r="450" spans="1:10" x14ac:dyDescent="0.35">
      <c r="A450">
        <v>449</v>
      </c>
      <c r="B450">
        <v>34</v>
      </c>
      <c r="C450" t="s">
        <v>5</v>
      </c>
      <c r="D450" s="1">
        <v>45058</v>
      </c>
      <c r="E450" t="s">
        <v>19</v>
      </c>
      <c r="F450" t="s">
        <v>7</v>
      </c>
      <c r="G450" t="s">
        <v>3</v>
      </c>
      <c r="H450">
        <v>10</v>
      </c>
      <c r="I450">
        <v>62.86</v>
      </c>
      <c r="J450" t="s">
        <v>16</v>
      </c>
    </row>
    <row r="451" spans="1:10" x14ac:dyDescent="0.35">
      <c r="A451">
        <v>450</v>
      </c>
      <c r="B451">
        <v>40</v>
      </c>
      <c r="C451" t="s">
        <v>0</v>
      </c>
      <c r="D451" s="1">
        <v>45155</v>
      </c>
      <c r="E451" t="s">
        <v>19</v>
      </c>
      <c r="F451" t="s">
        <v>7</v>
      </c>
      <c r="G451" t="s">
        <v>3</v>
      </c>
      <c r="H451">
        <v>5</v>
      </c>
      <c r="I451">
        <v>145.07</v>
      </c>
      <c r="J451" t="s">
        <v>16</v>
      </c>
    </row>
    <row r="452" spans="1:10" x14ac:dyDescent="0.35">
      <c r="A452">
        <v>451</v>
      </c>
      <c r="B452">
        <v>61</v>
      </c>
      <c r="C452" t="s">
        <v>5</v>
      </c>
      <c r="D452" s="1">
        <v>45401</v>
      </c>
      <c r="E452" t="s">
        <v>11</v>
      </c>
      <c r="F452" t="s">
        <v>2</v>
      </c>
      <c r="G452" t="s">
        <v>3</v>
      </c>
      <c r="H452">
        <v>7</v>
      </c>
      <c r="I452">
        <v>446.92</v>
      </c>
      <c r="J452" t="s">
        <v>4</v>
      </c>
    </row>
    <row r="453" spans="1:10" x14ac:dyDescent="0.35">
      <c r="A453">
        <v>452</v>
      </c>
      <c r="B453">
        <v>68</v>
      </c>
      <c r="C453" t="s">
        <v>0</v>
      </c>
      <c r="D453" s="1">
        <v>45624</v>
      </c>
      <c r="E453" t="s">
        <v>6</v>
      </c>
      <c r="F453" t="s">
        <v>12</v>
      </c>
      <c r="G453" t="s">
        <v>15</v>
      </c>
      <c r="H453">
        <v>2</v>
      </c>
      <c r="I453">
        <v>85.94</v>
      </c>
      <c r="J453" t="s">
        <v>8</v>
      </c>
    </row>
    <row r="454" spans="1:10" x14ac:dyDescent="0.35">
      <c r="A454">
        <v>453</v>
      </c>
      <c r="B454">
        <v>73</v>
      </c>
      <c r="C454" t="s">
        <v>0</v>
      </c>
      <c r="D454" s="1">
        <v>45277</v>
      </c>
      <c r="E454" t="s">
        <v>1</v>
      </c>
      <c r="F454" t="s">
        <v>12</v>
      </c>
      <c r="G454" t="s">
        <v>18</v>
      </c>
      <c r="H454">
        <v>2</v>
      </c>
      <c r="I454">
        <v>393.89</v>
      </c>
      <c r="J454" t="s">
        <v>10</v>
      </c>
    </row>
    <row r="455" spans="1:10" x14ac:dyDescent="0.35">
      <c r="A455">
        <v>454</v>
      </c>
      <c r="B455">
        <v>23</v>
      </c>
      <c r="C455" t="s">
        <v>0</v>
      </c>
      <c r="D455" s="1">
        <v>45267</v>
      </c>
      <c r="E455" t="s">
        <v>11</v>
      </c>
      <c r="F455" t="s">
        <v>7</v>
      </c>
      <c r="G455" t="s">
        <v>3</v>
      </c>
      <c r="H455">
        <v>0</v>
      </c>
      <c r="I455">
        <v>236.99</v>
      </c>
      <c r="J455" t="s">
        <v>8</v>
      </c>
    </row>
    <row r="456" spans="1:10" x14ac:dyDescent="0.35">
      <c r="A456">
        <v>455</v>
      </c>
      <c r="B456">
        <v>21</v>
      </c>
      <c r="C456" t="s">
        <v>0</v>
      </c>
      <c r="D456" s="1">
        <v>45099</v>
      </c>
      <c r="E456" t="s">
        <v>11</v>
      </c>
      <c r="F456" t="s">
        <v>9</v>
      </c>
      <c r="G456" t="s">
        <v>3</v>
      </c>
      <c r="H456">
        <v>2</v>
      </c>
      <c r="I456">
        <v>314.95</v>
      </c>
      <c r="J456" t="s">
        <v>10</v>
      </c>
    </row>
    <row r="457" spans="1:10" x14ac:dyDescent="0.35">
      <c r="A457">
        <v>456</v>
      </c>
      <c r="B457">
        <v>62</v>
      </c>
      <c r="C457" t="s">
        <v>0</v>
      </c>
      <c r="D457" s="1">
        <v>45340</v>
      </c>
      <c r="E457" t="s">
        <v>11</v>
      </c>
      <c r="F457" t="s">
        <v>12</v>
      </c>
      <c r="G457" t="s">
        <v>15</v>
      </c>
      <c r="H457">
        <v>8</v>
      </c>
      <c r="I457">
        <v>115.72</v>
      </c>
      <c r="J457" t="s">
        <v>16</v>
      </c>
    </row>
    <row r="458" spans="1:10" x14ac:dyDescent="0.35">
      <c r="A458">
        <v>457</v>
      </c>
      <c r="B458">
        <v>68</v>
      </c>
      <c r="C458" t="s">
        <v>5</v>
      </c>
      <c r="D458" s="1">
        <v>44941</v>
      </c>
      <c r="E458" t="s">
        <v>11</v>
      </c>
      <c r="F458" t="s">
        <v>14</v>
      </c>
      <c r="G458" t="s">
        <v>15</v>
      </c>
      <c r="H458">
        <v>10</v>
      </c>
      <c r="I458">
        <v>372.13</v>
      </c>
      <c r="J458" t="s">
        <v>8</v>
      </c>
    </row>
    <row r="459" spans="1:10" x14ac:dyDescent="0.35">
      <c r="A459">
        <v>458</v>
      </c>
      <c r="B459">
        <v>40</v>
      </c>
      <c r="C459" t="s">
        <v>5</v>
      </c>
      <c r="D459" s="1">
        <v>45637</v>
      </c>
      <c r="E459" t="s">
        <v>11</v>
      </c>
      <c r="F459" t="s">
        <v>14</v>
      </c>
      <c r="G459" t="s">
        <v>20</v>
      </c>
      <c r="H459">
        <v>8</v>
      </c>
      <c r="I459">
        <v>302.56</v>
      </c>
      <c r="J459" t="s">
        <v>8</v>
      </c>
    </row>
    <row r="460" spans="1:10" x14ac:dyDescent="0.35">
      <c r="A460">
        <v>459</v>
      </c>
      <c r="B460">
        <v>39</v>
      </c>
      <c r="C460" t="s">
        <v>0</v>
      </c>
      <c r="D460" s="1">
        <v>44993</v>
      </c>
      <c r="E460" t="s">
        <v>6</v>
      </c>
      <c r="F460" t="s">
        <v>2</v>
      </c>
      <c r="G460" t="s">
        <v>3</v>
      </c>
      <c r="H460">
        <v>8</v>
      </c>
      <c r="I460">
        <v>306.26</v>
      </c>
      <c r="J460" t="s">
        <v>16</v>
      </c>
    </row>
    <row r="461" spans="1:10" x14ac:dyDescent="0.35">
      <c r="A461">
        <v>460</v>
      </c>
      <c r="B461">
        <v>18</v>
      </c>
      <c r="C461" t="s">
        <v>0</v>
      </c>
      <c r="D461" s="1">
        <v>45371</v>
      </c>
      <c r="E461" t="s">
        <v>6</v>
      </c>
      <c r="F461" t="s">
        <v>7</v>
      </c>
      <c r="G461" t="s">
        <v>3</v>
      </c>
      <c r="H461">
        <v>5</v>
      </c>
      <c r="I461">
        <v>380.06</v>
      </c>
      <c r="J461" t="s">
        <v>8</v>
      </c>
    </row>
    <row r="462" spans="1:10" x14ac:dyDescent="0.35">
      <c r="A462">
        <v>461</v>
      </c>
      <c r="B462">
        <v>30</v>
      </c>
      <c r="C462" t="s">
        <v>5</v>
      </c>
      <c r="D462" s="1">
        <v>45340</v>
      </c>
      <c r="E462" t="s">
        <v>1</v>
      </c>
      <c r="F462" t="s">
        <v>2</v>
      </c>
      <c r="G462" t="s">
        <v>3</v>
      </c>
      <c r="H462">
        <v>3</v>
      </c>
      <c r="I462">
        <v>372.36</v>
      </c>
      <c r="J462" t="s">
        <v>8</v>
      </c>
    </row>
    <row r="463" spans="1:10" x14ac:dyDescent="0.35">
      <c r="A463">
        <v>462</v>
      </c>
      <c r="B463">
        <v>84</v>
      </c>
      <c r="C463" t="s">
        <v>5</v>
      </c>
      <c r="D463" s="1">
        <v>45053</v>
      </c>
      <c r="E463" t="s">
        <v>6</v>
      </c>
      <c r="F463" t="s">
        <v>14</v>
      </c>
      <c r="G463" t="s">
        <v>18</v>
      </c>
      <c r="H463">
        <v>8</v>
      </c>
      <c r="I463">
        <v>319.10000000000002</v>
      </c>
      <c r="J463" t="s">
        <v>4</v>
      </c>
    </row>
    <row r="464" spans="1:10" x14ac:dyDescent="0.35">
      <c r="A464">
        <v>463</v>
      </c>
      <c r="B464">
        <v>84</v>
      </c>
      <c r="C464" t="s">
        <v>5</v>
      </c>
      <c r="D464" s="1">
        <v>45604</v>
      </c>
      <c r="E464" t="s">
        <v>11</v>
      </c>
      <c r="F464" t="s">
        <v>2</v>
      </c>
      <c r="G464" t="s">
        <v>3</v>
      </c>
      <c r="H464">
        <v>1</v>
      </c>
      <c r="I464">
        <v>220.05</v>
      </c>
      <c r="J464" t="s">
        <v>10</v>
      </c>
    </row>
    <row r="465" spans="1:10" x14ac:dyDescent="0.35">
      <c r="A465">
        <v>464</v>
      </c>
      <c r="B465">
        <v>33</v>
      </c>
      <c r="C465" t="s">
        <v>0</v>
      </c>
      <c r="D465" s="1">
        <v>45053</v>
      </c>
      <c r="E465" t="s">
        <v>1</v>
      </c>
      <c r="F465" t="s">
        <v>9</v>
      </c>
      <c r="G465" t="s">
        <v>3</v>
      </c>
      <c r="H465">
        <v>3</v>
      </c>
      <c r="I465">
        <v>353.69</v>
      </c>
      <c r="J465" t="s">
        <v>4</v>
      </c>
    </row>
    <row r="466" spans="1:10" x14ac:dyDescent="0.35">
      <c r="A466">
        <v>465</v>
      </c>
      <c r="B466">
        <v>85</v>
      </c>
      <c r="C466" t="s">
        <v>5</v>
      </c>
      <c r="D466" s="1">
        <v>45235</v>
      </c>
      <c r="E466" t="s">
        <v>19</v>
      </c>
      <c r="F466" t="s">
        <v>12</v>
      </c>
      <c r="G466" t="s">
        <v>3</v>
      </c>
      <c r="H466">
        <v>9</v>
      </c>
      <c r="I466">
        <v>356.35</v>
      </c>
      <c r="J466" t="s">
        <v>10</v>
      </c>
    </row>
    <row r="467" spans="1:10" x14ac:dyDescent="0.35">
      <c r="A467">
        <v>466</v>
      </c>
      <c r="B467">
        <v>80</v>
      </c>
      <c r="C467" t="s">
        <v>5</v>
      </c>
      <c r="D467" s="1">
        <v>45034</v>
      </c>
      <c r="E467" t="s">
        <v>19</v>
      </c>
      <c r="F467" t="s">
        <v>9</v>
      </c>
      <c r="G467" t="s">
        <v>3</v>
      </c>
      <c r="H467">
        <v>1</v>
      </c>
      <c r="I467">
        <v>396.68</v>
      </c>
      <c r="J467" t="s">
        <v>10</v>
      </c>
    </row>
    <row r="468" spans="1:10" x14ac:dyDescent="0.35">
      <c r="A468">
        <v>467</v>
      </c>
      <c r="B468">
        <v>26</v>
      </c>
      <c r="C468" t="s">
        <v>0</v>
      </c>
      <c r="D468" s="1">
        <v>45130</v>
      </c>
      <c r="E468" t="s">
        <v>1</v>
      </c>
      <c r="F468" t="s">
        <v>9</v>
      </c>
      <c r="G468" t="s">
        <v>3</v>
      </c>
      <c r="H468">
        <v>5</v>
      </c>
      <c r="I468">
        <v>357.65</v>
      </c>
      <c r="J468" t="s">
        <v>16</v>
      </c>
    </row>
    <row r="469" spans="1:10" x14ac:dyDescent="0.35">
      <c r="A469">
        <v>468</v>
      </c>
      <c r="B469">
        <v>71</v>
      </c>
      <c r="C469" t="s">
        <v>0</v>
      </c>
      <c r="D469" s="1">
        <v>45091</v>
      </c>
      <c r="E469" t="s">
        <v>1</v>
      </c>
      <c r="F469" t="s">
        <v>2</v>
      </c>
      <c r="G469" t="s">
        <v>3</v>
      </c>
      <c r="H469">
        <v>7</v>
      </c>
      <c r="I469">
        <v>178.69</v>
      </c>
      <c r="J469" t="s">
        <v>4</v>
      </c>
    </row>
    <row r="470" spans="1:10" x14ac:dyDescent="0.35">
      <c r="A470">
        <v>469</v>
      </c>
      <c r="B470">
        <v>12</v>
      </c>
      <c r="C470" t="s">
        <v>5</v>
      </c>
      <c r="D470" s="1">
        <v>44940</v>
      </c>
      <c r="E470" t="s">
        <v>6</v>
      </c>
      <c r="F470" t="s">
        <v>7</v>
      </c>
      <c r="G470" t="s">
        <v>3</v>
      </c>
      <c r="H470">
        <v>2</v>
      </c>
      <c r="I470">
        <v>475.73</v>
      </c>
      <c r="J470" t="s">
        <v>4</v>
      </c>
    </row>
    <row r="471" spans="1:10" x14ac:dyDescent="0.35">
      <c r="A471">
        <v>470</v>
      </c>
      <c r="B471">
        <v>83</v>
      </c>
      <c r="C471" t="s">
        <v>5</v>
      </c>
      <c r="D471" s="1">
        <v>45030</v>
      </c>
      <c r="E471" t="s">
        <v>6</v>
      </c>
      <c r="F471" t="s">
        <v>14</v>
      </c>
      <c r="G471" t="s">
        <v>18</v>
      </c>
      <c r="H471">
        <v>4</v>
      </c>
      <c r="I471">
        <v>242.85</v>
      </c>
      <c r="J471" t="s">
        <v>4</v>
      </c>
    </row>
    <row r="472" spans="1:10" x14ac:dyDescent="0.35">
      <c r="A472">
        <v>471</v>
      </c>
      <c r="B472">
        <v>38</v>
      </c>
      <c r="C472" t="s">
        <v>0</v>
      </c>
      <c r="D472" s="1">
        <v>45105</v>
      </c>
      <c r="E472" t="s">
        <v>19</v>
      </c>
      <c r="F472" t="s">
        <v>2</v>
      </c>
      <c r="G472" t="s">
        <v>3</v>
      </c>
      <c r="H472">
        <v>6</v>
      </c>
      <c r="I472">
        <v>374.5</v>
      </c>
      <c r="J472" t="s">
        <v>4</v>
      </c>
    </row>
    <row r="473" spans="1:10" x14ac:dyDescent="0.35">
      <c r="A473">
        <v>472</v>
      </c>
      <c r="B473">
        <v>18</v>
      </c>
      <c r="C473" t="s">
        <v>5</v>
      </c>
      <c r="D473" s="1">
        <v>44973</v>
      </c>
      <c r="E473" t="s">
        <v>19</v>
      </c>
      <c r="F473" t="s">
        <v>2</v>
      </c>
      <c r="G473" t="s">
        <v>3</v>
      </c>
      <c r="H473">
        <v>5</v>
      </c>
      <c r="I473">
        <v>449.37</v>
      </c>
      <c r="J473" t="s">
        <v>16</v>
      </c>
    </row>
    <row r="474" spans="1:10" x14ac:dyDescent="0.35">
      <c r="A474">
        <v>473</v>
      </c>
      <c r="B474">
        <v>44</v>
      </c>
      <c r="C474" t="s">
        <v>5</v>
      </c>
      <c r="D474" s="1">
        <v>45022</v>
      </c>
      <c r="E474" t="s">
        <v>11</v>
      </c>
      <c r="F474" t="s">
        <v>14</v>
      </c>
      <c r="G474" t="s">
        <v>20</v>
      </c>
      <c r="H474">
        <v>6</v>
      </c>
      <c r="I474">
        <v>481.91</v>
      </c>
      <c r="J474" t="s">
        <v>16</v>
      </c>
    </row>
    <row r="475" spans="1:10" x14ac:dyDescent="0.35">
      <c r="A475">
        <v>474</v>
      </c>
      <c r="B475">
        <v>62</v>
      </c>
      <c r="C475" t="s">
        <v>0</v>
      </c>
      <c r="D475" s="1">
        <v>45321</v>
      </c>
      <c r="E475" t="s">
        <v>1</v>
      </c>
      <c r="F475" t="s">
        <v>7</v>
      </c>
      <c r="G475" t="s">
        <v>3</v>
      </c>
      <c r="H475">
        <v>1</v>
      </c>
      <c r="I475">
        <v>83.61</v>
      </c>
      <c r="J475" t="s">
        <v>4</v>
      </c>
    </row>
    <row r="476" spans="1:10" x14ac:dyDescent="0.35">
      <c r="A476">
        <v>475</v>
      </c>
      <c r="B476">
        <v>54</v>
      </c>
      <c r="C476" t="s">
        <v>0</v>
      </c>
      <c r="D476" s="1">
        <v>45090</v>
      </c>
      <c r="E476" t="s">
        <v>6</v>
      </c>
      <c r="F476" t="s">
        <v>2</v>
      </c>
      <c r="G476" t="s">
        <v>3</v>
      </c>
      <c r="H476">
        <v>2</v>
      </c>
      <c r="I476">
        <v>313.44</v>
      </c>
      <c r="J476" t="s">
        <v>16</v>
      </c>
    </row>
    <row r="477" spans="1:10" x14ac:dyDescent="0.35">
      <c r="A477">
        <v>476</v>
      </c>
      <c r="B477">
        <v>17</v>
      </c>
      <c r="C477" t="s">
        <v>0</v>
      </c>
      <c r="D477" s="1">
        <v>45553</v>
      </c>
      <c r="E477" t="s">
        <v>6</v>
      </c>
      <c r="F477" t="s">
        <v>2</v>
      </c>
      <c r="G477" t="s">
        <v>3</v>
      </c>
      <c r="H477">
        <v>1</v>
      </c>
      <c r="I477">
        <v>446.05</v>
      </c>
      <c r="J477" t="s">
        <v>10</v>
      </c>
    </row>
    <row r="478" spans="1:10" x14ac:dyDescent="0.35">
      <c r="A478">
        <v>477</v>
      </c>
      <c r="B478">
        <v>34</v>
      </c>
      <c r="C478" t="s">
        <v>0</v>
      </c>
      <c r="D478" s="1">
        <v>44974</v>
      </c>
      <c r="E478" t="s">
        <v>11</v>
      </c>
      <c r="F478" t="s">
        <v>2</v>
      </c>
      <c r="G478" t="s">
        <v>3</v>
      </c>
      <c r="H478">
        <v>10</v>
      </c>
      <c r="I478">
        <v>271.91000000000003</v>
      </c>
      <c r="J478" t="s">
        <v>8</v>
      </c>
    </row>
    <row r="479" spans="1:10" x14ac:dyDescent="0.35">
      <c r="A479">
        <v>478</v>
      </c>
      <c r="B479">
        <v>67</v>
      </c>
      <c r="C479" t="s">
        <v>5</v>
      </c>
      <c r="D479" s="1">
        <v>45612</v>
      </c>
      <c r="E479" t="s">
        <v>6</v>
      </c>
      <c r="F479" t="s">
        <v>14</v>
      </c>
      <c r="G479" t="s">
        <v>13</v>
      </c>
      <c r="H479">
        <v>7</v>
      </c>
      <c r="I479">
        <v>185.96</v>
      </c>
      <c r="J479" t="s">
        <v>10</v>
      </c>
    </row>
    <row r="480" spans="1:10" x14ac:dyDescent="0.35">
      <c r="A480">
        <v>479</v>
      </c>
      <c r="B480">
        <v>79</v>
      </c>
      <c r="C480" t="s">
        <v>5</v>
      </c>
      <c r="D480" s="1">
        <v>45079</v>
      </c>
      <c r="E480" t="s">
        <v>11</v>
      </c>
      <c r="F480" t="s">
        <v>9</v>
      </c>
      <c r="G480" t="s">
        <v>3</v>
      </c>
      <c r="H480">
        <v>10</v>
      </c>
      <c r="I480">
        <v>468.5</v>
      </c>
      <c r="J480" t="s">
        <v>10</v>
      </c>
    </row>
    <row r="481" spans="1:10" x14ac:dyDescent="0.35">
      <c r="A481">
        <v>480</v>
      </c>
      <c r="B481">
        <v>10</v>
      </c>
      <c r="C481" t="s">
        <v>0</v>
      </c>
      <c r="D481" s="1">
        <v>45434</v>
      </c>
      <c r="E481" t="s">
        <v>19</v>
      </c>
      <c r="F481" t="s">
        <v>17</v>
      </c>
      <c r="G481" t="s">
        <v>13</v>
      </c>
      <c r="H481">
        <v>5</v>
      </c>
      <c r="I481">
        <v>485.67</v>
      </c>
      <c r="J481" t="s">
        <v>4</v>
      </c>
    </row>
    <row r="482" spans="1:10" x14ac:dyDescent="0.35">
      <c r="A482">
        <v>481</v>
      </c>
      <c r="B482">
        <v>71</v>
      </c>
      <c r="C482" t="s">
        <v>0</v>
      </c>
      <c r="D482" s="1">
        <v>45446</v>
      </c>
      <c r="E482" t="s">
        <v>6</v>
      </c>
      <c r="F482" t="s">
        <v>17</v>
      </c>
      <c r="G482" t="s">
        <v>13</v>
      </c>
      <c r="H482">
        <v>1</v>
      </c>
      <c r="I482">
        <v>240.37</v>
      </c>
      <c r="J482" t="s">
        <v>10</v>
      </c>
    </row>
    <row r="483" spans="1:10" x14ac:dyDescent="0.35">
      <c r="A483">
        <v>482</v>
      </c>
      <c r="B483">
        <v>58</v>
      </c>
      <c r="C483" t="s">
        <v>0</v>
      </c>
      <c r="D483" s="1">
        <v>45017</v>
      </c>
      <c r="E483" t="s">
        <v>11</v>
      </c>
      <c r="F483" t="s">
        <v>12</v>
      </c>
      <c r="G483" t="s">
        <v>20</v>
      </c>
      <c r="H483">
        <v>10</v>
      </c>
      <c r="I483">
        <v>28.53</v>
      </c>
      <c r="J483" t="s">
        <v>10</v>
      </c>
    </row>
    <row r="484" spans="1:10" x14ac:dyDescent="0.35">
      <c r="A484">
        <v>483</v>
      </c>
      <c r="B484">
        <v>72</v>
      </c>
      <c r="C484" t="s">
        <v>5</v>
      </c>
      <c r="D484" s="1">
        <v>45349</v>
      </c>
      <c r="E484" t="s">
        <v>11</v>
      </c>
      <c r="F484" t="s">
        <v>2</v>
      </c>
      <c r="G484" t="s">
        <v>3</v>
      </c>
      <c r="H484">
        <v>9</v>
      </c>
      <c r="I484">
        <v>482.32</v>
      </c>
      <c r="J484" t="s">
        <v>16</v>
      </c>
    </row>
    <row r="485" spans="1:10" x14ac:dyDescent="0.35">
      <c r="A485">
        <v>484</v>
      </c>
      <c r="B485">
        <v>27</v>
      </c>
      <c r="C485" t="s">
        <v>0</v>
      </c>
      <c r="D485" s="1">
        <v>45447</v>
      </c>
      <c r="E485" t="s">
        <v>19</v>
      </c>
      <c r="F485" t="s">
        <v>9</v>
      </c>
      <c r="G485" t="s">
        <v>3</v>
      </c>
      <c r="H485">
        <v>5</v>
      </c>
      <c r="I485">
        <v>416.15</v>
      </c>
      <c r="J485" t="s">
        <v>8</v>
      </c>
    </row>
    <row r="486" spans="1:10" x14ac:dyDescent="0.35">
      <c r="A486">
        <v>485</v>
      </c>
      <c r="B486">
        <v>72</v>
      </c>
      <c r="C486" t="s">
        <v>0</v>
      </c>
      <c r="D486" s="1">
        <v>45392</v>
      </c>
      <c r="E486" t="s">
        <v>19</v>
      </c>
      <c r="F486" t="s">
        <v>14</v>
      </c>
      <c r="G486" t="s">
        <v>20</v>
      </c>
      <c r="H486">
        <v>1</v>
      </c>
      <c r="I486">
        <v>66.77</v>
      </c>
      <c r="J486" t="s">
        <v>8</v>
      </c>
    </row>
    <row r="487" spans="1:10" x14ac:dyDescent="0.35">
      <c r="A487">
        <v>486</v>
      </c>
      <c r="B487">
        <v>46</v>
      </c>
      <c r="C487" t="s">
        <v>0</v>
      </c>
      <c r="D487" s="1">
        <v>44929</v>
      </c>
      <c r="E487" t="s">
        <v>19</v>
      </c>
      <c r="F487" t="s">
        <v>14</v>
      </c>
      <c r="G487" t="s">
        <v>15</v>
      </c>
      <c r="H487">
        <v>0</v>
      </c>
      <c r="I487">
        <v>450.5</v>
      </c>
      <c r="J487" t="s">
        <v>10</v>
      </c>
    </row>
    <row r="488" spans="1:10" x14ac:dyDescent="0.35">
      <c r="A488">
        <v>487</v>
      </c>
      <c r="B488">
        <v>53</v>
      </c>
      <c r="C488" t="s">
        <v>5</v>
      </c>
      <c r="D488" s="1">
        <v>45070</v>
      </c>
      <c r="E488" t="s">
        <v>19</v>
      </c>
      <c r="F488" t="s">
        <v>7</v>
      </c>
      <c r="G488" t="s">
        <v>3</v>
      </c>
      <c r="H488">
        <v>9</v>
      </c>
      <c r="I488">
        <v>114.04</v>
      </c>
      <c r="J488" t="s">
        <v>4</v>
      </c>
    </row>
    <row r="489" spans="1:10" x14ac:dyDescent="0.35">
      <c r="A489">
        <v>488</v>
      </c>
      <c r="B489">
        <v>59</v>
      </c>
      <c r="C489" t="s">
        <v>5</v>
      </c>
      <c r="D489" s="1">
        <v>45329</v>
      </c>
      <c r="E489" t="s">
        <v>19</v>
      </c>
      <c r="F489" t="s">
        <v>17</v>
      </c>
      <c r="G489" t="s">
        <v>15</v>
      </c>
      <c r="H489">
        <v>6</v>
      </c>
      <c r="I489">
        <v>42.32</v>
      </c>
      <c r="J489" t="s">
        <v>4</v>
      </c>
    </row>
    <row r="490" spans="1:10" x14ac:dyDescent="0.35">
      <c r="A490">
        <v>489</v>
      </c>
      <c r="B490">
        <v>85</v>
      </c>
      <c r="C490" t="s">
        <v>5</v>
      </c>
      <c r="D490" s="1">
        <v>45388</v>
      </c>
      <c r="E490" t="s">
        <v>6</v>
      </c>
      <c r="F490" t="s">
        <v>12</v>
      </c>
      <c r="G490" t="s">
        <v>15</v>
      </c>
      <c r="H490">
        <v>8</v>
      </c>
      <c r="I490">
        <v>373.38</v>
      </c>
      <c r="J490" t="s">
        <v>10</v>
      </c>
    </row>
    <row r="491" spans="1:10" x14ac:dyDescent="0.35">
      <c r="A491">
        <v>490</v>
      </c>
      <c r="B491">
        <v>66</v>
      </c>
      <c r="C491" t="s">
        <v>5</v>
      </c>
      <c r="D491" s="1">
        <v>45526</v>
      </c>
      <c r="E491" t="s">
        <v>1</v>
      </c>
      <c r="F491" t="s">
        <v>12</v>
      </c>
      <c r="G491" t="s">
        <v>13</v>
      </c>
      <c r="H491">
        <v>1</v>
      </c>
      <c r="I491">
        <v>205.95</v>
      </c>
      <c r="J491" t="s">
        <v>16</v>
      </c>
    </row>
    <row r="492" spans="1:10" x14ac:dyDescent="0.35">
      <c r="A492">
        <v>491</v>
      </c>
      <c r="B492">
        <v>54</v>
      </c>
      <c r="C492" t="s">
        <v>5</v>
      </c>
      <c r="D492" s="1">
        <v>45443</v>
      </c>
      <c r="E492" t="s">
        <v>19</v>
      </c>
      <c r="F492" t="s">
        <v>12</v>
      </c>
      <c r="G492" t="s">
        <v>20</v>
      </c>
      <c r="H492">
        <v>5</v>
      </c>
      <c r="I492">
        <v>485.84</v>
      </c>
      <c r="J492" t="s">
        <v>10</v>
      </c>
    </row>
    <row r="493" spans="1:10" x14ac:dyDescent="0.35">
      <c r="A493">
        <v>492</v>
      </c>
      <c r="B493">
        <v>53</v>
      </c>
      <c r="C493" t="s">
        <v>0</v>
      </c>
      <c r="D493" s="1">
        <v>45063</v>
      </c>
      <c r="E493" t="s">
        <v>19</v>
      </c>
      <c r="F493" t="s">
        <v>17</v>
      </c>
      <c r="G493" t="s">
        <v>3</v>
      </c>
      <c r="H493">
        <v>10</v>
      </c>
      <c r="I493">
        <v>124.32</v>
      </c>
      <c r="J493" t="s">
        <v>8</v>
      </c>
    </row>
    <row r="494" spans="1:10" x14ac:dyDescent="0.35">
      <c r="A494">
        <v>493</v>
      </c>
      <c r="B494">
        <v>38</v>
      </c>
      <c r="C494" t="s">
        <v>0</v>
      </c>
      <c r="D494" s="1">
        <v>45566</v>
      </c>
      <c r="E494" t="s">
        <v>1</v>
      </c>
      <c r="F494" t="s">
        <v>7</v>
      </c>
      <c r="G494" t="s">
        <v>3</v>
      </c>
      <c r="H494">
        <v>10</v>
      </c>
      <c r="I494">
        <v>488.09</v>
      </c>
      <c r="J494" t="s">
        <v>8</v>
      </c>
    </row>
    <row r="495" spans="1:10" x14ac:dyDescent="0.35">
      <c r="A495">
        <v>494</v>
      </c>
      <c r="B495">
        <v>82</v>
      </c>
      <c r="C495" t="s">
        <v>0</v>
      </c>
      <c r="D495" s="1">
        <v>45442</v>
      </c>
      <c r="E495" t="s">
        <v>11</v>
      </c>
      <c r="F495" t="s">
        <v>9</v>
      </c>
      <c r="G495" t="s">
        <v>3</v>
      </c>
      <c r="H495">
        <v>5</v>
      </c>
      <c r="I495">
        <v>289.89</v>
      </c>
      <c r="J495" t="s">
        <v>10</v>
      </c>
    </row>
    <row r="496" spans="1:10" x14ac:dyDescent="0.35">
      <c r="A496">
        <v>495</v>
      </c>
      <c r="B496">
        <v>69</v>
      </c>
      <c r="C496" t="s">
        <v>0</v>
      </c>
      <c r="D496" s="1">
        <v>45617</v>
      </c>
      <c r="E496" t="s">
        <v>6</v>
      </c>
      <c r="F496" t="s">
        <v>7</v>
      </c>
      <c r="G496" t="s">
        <v>3</v>
      </c>
      <c r="H496">
        <v>0</v>
      </c>
      <c r="I496">
        <v>270.91000000000003</v>
      </c>
      <c r="J496" t="s">
        <v>4</v>
      </c>
    </row>
    <row r="497" spans="1:10" x14ac:dyDescent="0.35">
      <c r="A497">
        <v>496</v>
      </c>
      <c r="B497">
        <v>7</v>
      </c>
      <c r="C497" t="s">
        <v>5</v>
      </c>
      <c r="D497" s="1">
        <v>45317</v>
      </c>
      <c r="E497" t="s">
        <v>1</v>
      </c>
      <c r="F497" t="s">
        <v>17</v>
      </c>
      <c r="G497" t="s">
        <v>18</v>
      </c>
      <c r="H497">
        <v>2</v>
      </c>
      <c r="I497">
        <v>492.1</v>
      </c>
      <c r="J497" t="s">
        <v>16</v>
      </c>
    </row>
    <row r="498" spans="1:10" x14ac:dyDescent="0.35">
      <c r="A498">
        <v>497</v>
      </c>
      <c r="B498">
        <v>38</v>
      </c>
      <c r="C498" t="s">
        <v>5</v>
      </c>
      <c r="D498" s="1">
        <v>45076</v>
      </c>
      <c r="E498" t="s">
        <v>11</v>
      </c>
      <c r="F498" t="s">
        <v>2</v>
      </c>
      <c r="G498" t="s">
        <v>3</v>
      </c>
      <c r="H498">
        <v>5</v>
      </c>
      <c r="I498">
        <v>410.73</v>
      </c>
      <c r="J498" t="s">
        <v>4</v>
      </c>
    </row>
    <row r="499" spans="1:10" x14ac:dyDescent="0.35">
      <c r="A499">
        <v>498</v>
      </c>
      <c r="B499">
        <v>72</v>
      </c>
      <c r="C499" t="s">
        <v>5</v>
      </c>
      <c r="D499" s="1">
        <v>45557</v>
      </c>
      <c r="E499" t="s">
        <v>6</v>
      </c>
      <c r="F499" t="s">
        <v>7</v>
      </c>
      <c r="G499" t="s">
        <v>3</v>
      </c>
      <c r="H499">
        <v>3</v>
      </c>
      <c r="I499">
        <v>265.24</v>
      </c>
      <c r="J499" t="s">
        <v>16</v>
      </c>
    </row>
    <row r="500" spans="1:10" x14ac:dyDescent="0.35">
      <c r="A500">
        <v>499</v>
      </c>
      <c r="B500">
        <v>7</v>
      </c>
      <c r="C500" t="s">
        <v>0</v>
      </c>
      <c r="D500" s="1">
        <v>45636</v>
      </c>
      <c r="E500" t="s">
        <v>6</v>
      </c>
      <c r="F500" t="s">
        <v>7</v>
      </c>
      <c r="G500" t="s">
        <v>3</v>
      </c>
      <c r="H500">
        <v>6</v>
      </c>
      <c r="I500">
        <v>479.22</v>
      </c>
      <c r="J500" t="s">
        <v>16</v>
      </c>
    </row>
    <row r="501" spans="1:10" x14ac:dyDescent="0.35">
      <c r="A501">
        <v>500</v>
      </c>
      <c r="B501">
        <v>2</v>
      </c>
      <c r="C501" t="s">
        <v>0</v>
      </c>
      <c r="D501" s="1">
        <v>45492</v>
      </c>
      <c r="E501" t="s">
        <v>1</v>
      </c>
      <c r="F501" t="s">
        <v>2</v>
      </c>
      <c r="G501" t="s">
        <v>3</v>
      </c>
      <c r="H501">
        <v>9</v>
      </c>
      <c r="I501">
        <v>437.05</v>
      </c>
      <c r="J501" t="s">
        <v>10</v>
      </c>
    </row>
    <row r="502" spans="1:10" x14ac:dyDescent="0.35">
      <c r="A502">
        <v>501</v>
      </c>
      <c r="B502">
        <v>83</v>
      </c>
      <c r="C502" t="s">
        <v>0</v>
      </c>
      <c r="D502" s="1">
        <v>45157</v>
      </c>
      <c r="E502" t="s">
        <v>1</v>
      </c>
      <c r="F502" t="s">
        <v>7</v>
      </c>
      <c r="G502" t="s">
        <v>3</v>
      </c>
      <c r="H502">
        <v>3</v>
      </c>
      <c r="I502">
        <v>161.21</v>
      </c>
      <c r="J502" t="s">
        <v>8</v>
      </c>
    </row>
    <row r="503" spans="1:10" x14ac:dyDescent="0.35">
      <c r="A503">
        <v>502</v>
      </c>
      <c r="B503">
        <v>24</v>
      </c>
      <c r="C503" t="s">
        <v>5</v>
      </c>
      <c r="D503" s="1">
        <v>45626</v>
      </c>
      <c r="E503" t="s">
        <v>11</v>
      </c>
      <c r="F503" t="s">
        <v>2</v>
      </c>
      <c r="G503" t="s">
        <v>3</v>
      </c>
      <c r="H503">
        <v>6</v>
      </c>
      <c r="I503">
        <v>39.5</v>
      </c>
      <c r="J503" t="s">
        <v>16</v>
      </c>
    </row>
    <row r="504" spans="1:10" x14ac:dyDescent="0.35">
      <c r="A504">
        <v>503</v>
      </c>
      <c r="B504">
        <v>17</v>
      </c>
      <c r="C504" t="s">
        <v>5</v>
      </c>
      <c r="D504" s="1">
        <v>45496</v>
      </c>
      <c r="E504" t="s">
        <v>19</v>
      </c>
      <c r="F504" t="s">
        <v>14</v>
      </c>
      <c r="G504" t="s">
        <v>15</v>
      </c>
      <c r="H504">
        <v>5</v>
      </c>
      <c r="I504">
        <v>243.84</v>
      </c>
      <c r="J504" t="s">
        <v>8</v>
      </c>
    </row>
    <row r="505" spans="1:10" x14ac:dyDescent="0.35">
      <c r="A505">
        <v>504</v>
      </c>
      <c r="B505">
        <v>42</v>
      </c>
      <c r="C505" t="s">
        <v>5</v>
      </c>
      <c r="D505" s="1">
        <v>44967</v>
      </c>
      <c r="E505" t="s">
        <v>19</v>
      </c>
      <c r="F505" t="s">
        <v>17</v>
      </c>
      <c r="G505" t="s">
        <v>20</v>
      </c>
      <c r="H505">
        <v>9</v>
      </c>
      <c r="I505">
        <v>284.08</v>
      </c>
      <c r="J505" t="s">
        <v>4</v>
      </c>
    </row>
    <row r="506" spans="1:10" x14ac:dyDescent="0.35">
      <c r="A506">
        <v>505</v>
      </c>
      <c r="B506">
        <v>68</v>
      </c>
      <c r="C506" t="s">
        <v>5</v>
      </c>
      <c r="D506" s="1">
        <v>45651</v>
      </c>
      <c r="E506" t="s">
        <v>1</v>
      </c>
      <c r="F506" t="s">
        <v>14</v>
      </c>
      <c r="G506" t="s">
        <v>3</v>
      </c>
      <c r="H506">
        <v>1</v>
      </c>
      <c r="I506">
        <v>397.4</v>
      </c>
      <c r="J506" t="s">
        <v>8</v>
      </c>
    </row>
    <row r="507" spans="1:10" x14ac:dyDescent="0.35">
      <c r="A507">
        <v>506</v>
      </c>
      <c r="B507">
        <v>69</v>
      </c>
      <c r="C507" t="s">
        <v>0</v>
      </c>
      <c r="D507" s="1">
        <v>45352</v>
      </c>
      <c r="E507" t="s">
        <v>11</v>
      </c>
      <c r="F507" t="s">
        <v>9</v>
      </c>
      <c r="G507" t="s">
        <v>3</v>
      </c>
      <c r="H507">
        <v>5</v>
      </c>
      <c r="I507">
        <v>126.18</v>
      </c>
      <c r="J507" t="s">
        <v>8</v>
      </c>
    </row>
    <row r="508" spans="1:10" x14ac:dyDescent="0.35">
      <c r="A508">
        <v>507</v>
      </c>
      <c r="B508">
        <v>43</v>
      </c>
      <c r="C508" t="s">
        <v>0</v>
      </c>
      <c r="D508" s="1">
        <v>45606</v>
      </c>
      <c r="E508" t="s">
        <v>19</v>
      </c>
      <c r="F508" t="s">
        <v>14</v>
      </c>
      <c r="G508" t="s">
        <v>13</v>
      </c>
      <c r="H508">
        <v>9</v>
      </c>
      <c r="I508">
        <v>274.64</v>
      </c>
      <c r="J508" t="s">
        <v>4</v>
      </c>
    </row>
    <row r="509" spans="1:10" x14ac:dyDescent="0.35">
      <c r="A509">
        <v>508</v>
      </c>
      <c r="B509">
        <v>45</v>
      </c>
      <c r="C509" t="s">
        <v>0</v>
      </c>
      <c r="D509" s="1">
        <v>45044</v>
      </c>
      <c r="E509" t="s">
        <v>1</v>
      </c>
      <c r="F509" t="s">
        <v>7</v>
      </c>
      <c r="G509" t="s">
        <v>3</v>
      </c>
      <c r="H509">
        <v>10</v>
      </c>
      <c r="I509">
        <v>314.58</v>
      </c>
      <c r="J509" t="s">
        <v>8</v>
      </c>
    </row>
    <row r="510" spans="1:10" x14ac:dyDescent="0.35">
      <c r="A510">
        <v>509</v>
      </c>
      <c r="B510">
        <v>42</v>
      </c>
      <c r="C510" t="s">
        <v>0</v>
      </c>
      <c r="D510" s="1">
        <v>44967</v>
      </c>
      <c r="E510" t="s">
        <v>11</v>
      </c>
      <c r="F510" t="s">
        <v>7</v>
      </c>
      <c r="G510" t="s">
        <v>3</v>
      </c>
      <c r="H510">
        <v>6</v>
      </c>
      <c r="I510">
        <v>143.16</v>
      </c>
      <c r="J510" t="s">
        <v>16</v>
      </c>
    </row>
    <row r="511" spans="1:10" x14ac:dyDescent="0.35">
      <c r="A511">
        <v>510</v>
      </c>
      <c r="B511">
        <v>48</v>
      </c>
      <c r="C511" t="s">
        <v>0</v>
      </c>
      <c r="D511" s="1">
        <v>44952</v>
      </c>
      <c r="E511" t="s">
        <v>6</v>
      </c>
      <c r="F511" t="s">
        <v>9</v>
      </c>
      <c r="G511" t="s">
        <v>3</v>
      </c>
      <c r="H511">
        <v>0</v>
      </c>
      <c r="I511">
        <v>162.29</v>
      </c>
      <c r="J511" t="s">
        <v>8</v>
      </c>
    </row>
    <row r="512" spans="1:10" x14ac:dyDescent="0.35">
      <c r="A512">
        <v>511</v>
      </c>
      <c r="B512">
        <v>11</v>
      </c>
      <c r="C512" t="s">
        <v>5</v>
      </c>
      <c r="D512" s="1">
        <v>45255</v>
      </c>
      <c r="E512" t="s">
        <v>1</v>
      </c>
      <c r="F512" t="s">
        <v>9</v>
      </c>
      <c r="G512" t="s">
        <v>3</v>
      </c>
      <c r="H512">
        <v>8</v>
      </c>
      <c r="I512">
        <v>275.94</v>
      </c>
      <c r="J512" t="s">
        <v>4</v>
      </c>
    </row>
    <row r="513" spans="1:10" x14ac:dyDescent="0.35">
      <c r="A513">
        <v>512</v>
      </c>
      <c r="B513">
        <v>81</v>
      </c>
      <c r="C513" t="s">
        <v>5</v>
      </c>
      <c r="D513" s="1">
        <v>45142</v>
      </c>
      <c r="E513" t="s">
        <v>6</v>
      </c>
      <c r="F513" t="s">
        <v>7</v>
      </c>
      <c r="G513" t="s">
        <v>3</v>
      </c>
      <c r="H513">
        <v>1</v>
      </c>
      <c r="I513">
        <v>118.68</v>
      </c>
      <c r="J513" t="s">
        <v>10</v>
      </c>
    </row>
    <row r="514" spans="1:10" x14ac:dyDescent="0.35">
      <c r="A514">
        <v>513</v>
      </c>
      <c r="B514">
        <v>20</v>
      </c>
      <c r="C514" t="s">
        <v>5</v>
      </c>
      <c r="D514" s="1">
        <v>45589</v>
      </c>
      <c r="E514" t="s">
        <v>6</v>
      </c>
      <c r="F514" t="s">
        <v>2</v>
      </c>
      <c r="G514" t="s">
        <v>3</v>
      </c>
      <c r="H514">
        <v>5</v>
      </c>
      <c r="I514">
        <v>38.19</v>
      </c>
      <c r="J514" t="s">
        <v>4</v>
      </c>
    </row>
    <row r="515" spans="1:10" x14ac:dyDescent="0.35">
      <c r="A515">
        <v>514</v>
      </c>
      <c r="B515">
        <v>33</v>
      </c>
      <c r="C515" t="s">
        <v>5</v>
      </c>
      <c r="D515" s="1">
        <v>44982</v>
      </c>
      <c r="E515" t="s">
        <v>1</v>
      </c>
      <c r="F515" t="s">
        <v>17</v>
      </c>
      <c r="G515" t="s">
        <v>18</v>
      </c>
      <c r="H515">
        <v>6</v>
      </c>
      <c r="I515">
        <v>206.26</v>
      </c>
      <c r="J515" t="s">
        <v>10</v>
      </c>
    </row>
    <row r="516" spans="1:10" x14ac:dyDescent="0.35">
      <c r="A516">
        <v>515</v>
      </c>
      <c r="B516">
        <v>3</v>
      </c>
      <c r="C516" t="s">
        <v>0</v>
      </c>
      <c r="D516" s="1">
        <v>45370</v>
      </c>
      <c r="E516" t="s">
        <v>11</v>
      </c>
      <c r="F516" t="s">
        <v>14</v>
      </c>
      <c r="G516" t="s">
        <v>3</v>
      </c>
      <c r="H516">
        <v>0</v>
      </c>
      <c r="I516">
        <v>327.88</v>
      </c>
      <c r="J516" t="s">
        <v>4</v>
      </c>
    </row>
    <row r="517" spans="1:10" x14ac:dyDescent="0.35">
      <c r="A517">
        <v>516</v>
      </c>
      <c r="B517">
        <v>10</v>
      </c>
      <c r="C517" t="s">
        <v>0</v>
      </c>
      <c r="D517" s="1">
        <v>45526</v>
      </c>
      <c r="E517" t="s">
        <v>11</v>
      </c>
      <c r="F517" t="s">
        <v>2</v>
      </c>
      <c r="G517" t="s">
        <v>3</v>
      </c>
      <c r="H517">
        <v>4</v>
      </c>
      <c r="I517">
        <v>397.71</v>
      </c>
      <c r="J517" t="s">
        <v>16</v>
      </c>
    </row>
    <row r="518" spans="1:10" x14ac:dyDescent="0.35">
      <c r="A518">
        <v>517</v>
      </c>
      <c r="B518">
        <v>37</v>
      </c>
      <c r="C518" t="s">
        <v>0</v>
      </c>
      <c r="D518" s="1">
        <v>45548</v>
      </c>
      <c r="E518" t="s">
        <v>6</v>
      </c>
      <c r="F518" t="s">
        <v>2</v>
      </c>
      <c r="G518" t="s">
        <v>3</v>
      </c>
      <c r="H518">
        <v>6</v>
      </c>
      <c r="I518">
        <v>414.62</v>
      </c>
      <c r="J518" t="s">
        <v>4</v>
      </c>
    </row>
    <row r="519" spans="1:10" x14ac:dyDescent="0.35">
      <c r="A519">
        <v>518</v>
      </c>
      <c r="B519">
        <v>69</v>
      </c>
      <c r="C519" t="s">
        <v>5</v>
      </c>
      <c r="D519" s="1">
        <v>45412</v>
      </c>
      <c r="E519" t="s">
        <v>1</v>
      </c>
      <c r="F519" t="s">
        <v>17</v>
      </c>
      <c r="G519" t="s">
        <v>20</v>
      </c>
      <c r="H519">
        <v>8</v>
      </c>
      <c r="I519">
        <v>161.59</v>
      </c>
      <c r="J519" t="s">
        <v>8</v>
      </c>
    </row>
    <row r="520" spans="1:10" x14ac:dyDescent="0.35">
      <c r="A520">
        <v>519</v>
      </c>
      <c r="B520">
        <v>83</v>
      </c>
      <c r="C520" t="s">
        <v>0</v>
      </c>
      <c r="D520" s="1">
        <v>45232</v>
      </c>
      <c r="E520" t="s">
        <v>11</v>
      </c>
      <c r="F520" t="s">
        <v>7</v>
      </c>
      <c r="G520" t="s">
        <v>3</v>
      </c>
      <c r="H520">
        <v>8</v>
      </c>
      <c r="I520">
        <v>439.89</v>
      </c>
      <c r="J520" t="s">
        <v>8</v>
      </c>
    </row>
    <row r="521" spans="1:10" x14ac:dyDescent="0.35">
      <c r="A521">
        <v>520</v>
      </c>
      <c r="B521">
        <v>1</v>
      </c>
      <c r="C521" t="s">
        <v>0</v>
      </c>
      <c r="D521" s="1">
        <v>45053</v>
      </c>
      <c r="E521" t="s">
        <v>11</v>
      </c>
      <c r="F521" t="s">
        <v>2</v>
      </c>
      <c r="G521" t="s">
        <v>3</v>
      </c>
      <c r="H521">
        <v>4</v>
      </c>
      <c r="I521">
        <v>120.83</v>
      </c>
      <c r="J521" t="s">
        <v>16</v>
      </c>
    </row>
    <row r="522" spans="1:10" x14ac:dyDescent="0.35">
      <c r="A522">
        <v>521</v>
      </c>
      <c r="B522">
        <v>83</v>
      </c>
      <c r="C522" t="s">
        <v>5</v>
      </c>
      <c r="D522" s="1">
        <v>45143</v>
      </c>
      <c r="E522" t="s">
        <v>1</v>
      </c>
      <c r="F522" t="s">
        <v>12</v>
      </c>
      <c r="G522" t="s">
        <v>13</v>
      </c>
      <c r="H522">
        <v>3</v>
      </c>
      <c r="I522">
        <v>316.10000000000002</v>
      </c>
      <c r="J522" t="s">
        <v>16</v>
      </c>
    </row>
    <row r="523" spans="1:10" x14ac:dyDescent="0.35">
      <c r="A523">
        <v>522</v>
      </c>
      <c r="B523">
        <v>24</v>
      </c>
      <c r="C523" t="s">
        <v>5</v>
      </c>
      <c r="D523" s="1">
        <v>45125</v>
      </c>
      <c r="E523" t="s">
        <v>6</v>
      </c>
      <c r="F523" t="s">
        <v>2</v>
      </c>
      <c r="G523" t="s">
        <v>3</v>
      </c>
      <c r="H523">
        <v>10</v>
      </c>
      <c r="I523">
        <v>283.83999999999997</v>
      </c>
      <c r="J523" t="s">
        <v>16</v>
      </c>
    </row>
    <row r="524" spans="1:10" x14ac:dyDescent="0.35">
      <c r="A524">
        <v>523</v>
      </c>
      <c r="B524">
        <v>33</v>
      </c>
      <c r="C524" t="s">
        <v>5</v>
      </c>
      <c r="D524" s="1">
        <v>45614</v>
      </c>
      <c r="E524" t="s">
        <v>1</v>
      </c>
      <c r="F524" t="s">
        <v>2</v>
      </c>
      <c r="G524" t="s">
        <v>3</v>
      </c>
      <c r="H524">
        <v>9</v>
      </c>
      <c r="I524">
        <v>253.85</v>
      </c>
      <c r="J524" t="s">
        <v>16</v>
      </c>
    </row>
    <row r="525" spans="1:10" x14ac:dyDescent="0.35">
      <c r="A525">
        <v>524</v>
      </c>
      <c r="B525">
        <v>84</v>
      </c>
      <c r="C525" t="s">
        <v>5</v>
      </c>
      <c r="D525" s="1">
        <v>45292</v>
      </c>
      <c r="E525" t="s">
        <v>11</v>
      </c>
      <c r="F525" t="s">
        <v>17</v>
      </c>
      <c r="G525" t="s">
        <v>18</v>
      </c>
      <c r="H525">
        <v>9</v>
      </c>
      <c r="I525">
        <v>53.51</v>
      </c>
      <c r="J525" t="s">
        <v>8</v>
      </c>
    </row>
    <row r="526" spans="1:10" x14ac:dyDescent="0.35">
      <c r="A526">
        <v>525</v>
      </c>
      <c r="B526">
        <v>58</v>
      </c>
      <c r="C526" t="s">
        <v>0</v>
      </c>
      <c r="D526" s="1">
        <v>45252</v>
      </c>
      <c r="E526" t="s">
        <v>19</v>
      </c>
      <c r="F526" t="s">
        <v>12</v>
      </c>
      <c r="G526" t="s">
        <v>3</v>
      </c>
      <c r="H526">
        <v>2</v>
      </c>
      <c r="I526">
        <v>291.45999999999998</v>
      </c>
      <c r="J526" t="s">
        <v>16</v>
      </c>
    </row>
    <row r="527" spans="1:10" x14ac:dyDescent="0.35">
      <c r="A527">
        <v>526</v>
      </c>
      <c r="B527">
        <v>22</v>
      </c>
      <c r="C527" t="s">
        <v>5</v>
      </c>
      <c r="D527" s="1">
        <v>45250</v>
      </c>
      <c r="E527" t="s">
        <v>19</v>
      </c>
      <c r="F527" t="s">
        <v>12</v>
      </c>
      <c r="G527" t="s">
        <v>13</v>
      </c>
      <c r="H527">
        <v>3</v>
      </c>
      <c r="I527">
        <v>361.86</v>
      </c>
      <c r="J527" t="s">
        <v>10</v>
      </c>
    </row>
    <row r="528" spans="1:10" x14ac:dyDescent="0.35">
      <c r="A528">
        <v>527</v>
      </c>
      <c r="B528">
        <v>18</v>
      </c>
      <c r="C528" t="s">
        <v>0</v>
      </c>
      <c r="D528" s="1">
        <v>45210</v>
      </c>
      <c r="E528" t="s">
        <v>6</v>
      </c>
      <c r="F528" t="s">
        <v>14</v>
      </c>
      <c r="G528" t="s">
        <v>20</v>
      </c>
      <c r="H528">
        <v>7</v>
      </c>
      <c r="I528">
        <v>192.2</v>
      </c>
      <c r="J528" t="s">
        <v>16</v>
      </c>
    </row>
    <row r="529" spans="1:10" x14ac:dyDescent="0.35">
      <c r="A529">
        <v>528</v>
      </c>
      <c r="B529">
        <v>14</v>
      </c>
      <c r="C529" t="s">
        <v>5</v>
      </c>
      <c r="D529" s="1">
        <v>45425</v>
      </c>
      <c r="E529" t="s">
        <v>11</v>
      </c>
      <c r="F529" t="s">
        <v>9</v>
      </c>
      <c r="G529" t="s">
        <v>3</v>
      </c>
      <c r="H529">
        <v>4</v>
      </c>
      <c r="I529">
        <v>432.18</v>
      </c>
      <c r="J529" t="s">
        <v>8</v>
      </c>
    </row>
    <row r="530" spans="1:10" x14ac:dyDescent="0.35">
      <c r="A530">
        <v>529</v>
      </c>
      <c r="B530">
        <v>34</v>
      </c>
      <c r="C530" t="s">
        <v>5</v>
      </c>
      <c r="D530" s="1">
        <v>45478</v>
      </c>
      <c r="E530" t="s">
        <v>11</v>
      </c>
      <c r="F530" t="s">
        <v>17</v>
      </c>
      <c r="G530" t="s">
        <v>15</v>
      </c>
      <c r="H530">
        <v>8</v>
      </c>
      <c r="I530">
        <v>323.18</v>
      </c>
      <c r="J530" t="s">
        <v>10</v>
      </c>
    </row>
    <row r="531" spans="1:10" x14ac:dyDescent="0.35">
      <c r="A531">
        <v>530</v>
      </c>
      <c r="B531">
        <v>5</v>
      </c>
      <c r="C531" t="s">
        <v>0</v>
      </c>
      <c r="D531" s="1">
        <v>45531</v>
      </c>
      <c r="E531" t="s">
        <v>6</v>
      </c>
      <c r="F531" t="s">
        <v>17</v>
      </c>
      <c r="G531" t="s">
        <v>13</v>
      </c>
      <c r="H531">
        <v>5</v>
      </c>
      <c r="I531">
        <v>208.4</v>
      </c>
      <c r="J531" t="s">
        <v>16</v>
      </c>
    </row>
    <row r="532" spans="1:10" x14ac:dyDescent="0.35">
      <c r="A532">
        <v>531</v>
      </c>
      <c r="B532">
        <v>65</v>
      </c>
      <c r="C532" t="s">
        <v>5</v>
      </c>
      <c r="D532" s="1">
        <v>45064</v>
      </c>
      <c r="E532" t="s">
        <v>6</v>
      </c>
      <c r="F532" t="s">
        <v>12</v>
      </c>
      <c r="G532" t="s">
        <v>18</v>
      </c>
      <c r="H532">
        <v>8</v>
      </c>
      <c r="I532">
        <v>25.08</v>
      </c>
      <c r="J532" t="s">
        <v>8</v>
      </c>
    </row>
    <row r="533" spans="1:10" x14ac:dyDescent="0.35">
      <c r="A533">
        <v>532</v>
      </c>
      <c r="B533">
        <v>22</v>
      </c>
      <c r="C533" t="s">
        <v>5</v>
      </c>
      <c r="D533" s="1">
        <v>45555</v>
      </c>
      <c r="E533" t="s">
        <v>6</v>
      </c>
      <c r="F533" t="s">
        <v>7</v>
      </c>
      <c r="G533" t="s">
        <v>3</v>
      </c>
      <c r="H533">
        <v>2</v>
      </c>
      <c r="I533">
        <v>105.99</v>
      </c>
      <c r="J533" t="s">
        <v>8</v>
      </c>
    </row>
    <row r="534" spans="1:10" x14ac:dyDescent="0.35">
      <c r="A534">
        <v>533</v>
      </c>
      <c r="B534">
        <v>6</v>
      </c>
      <c r="C534" t="s">
        <v>5</v>
      </c>
      <c r="D534" s="1">
        <v>45422</v>
      </c>
      <c r="E534" t="s">
        <v>6</v>
      </c>
      <c r="F534" t="s">
        <v>14</v>
      </c>
      <c r="G534" t="s">
        <v>13</v>
      </c>
      <c r="H534">
        <v>1</v>
      </c>
      <c r="I534">
        <v>146.88999999999999</v>
      </c>
      <c r="J534" t="s">
        <v>8</v>
      </c>
    </row>
    <row r="535" spans="1:10" x14ac:dyDescent="0.35">
      <c r="A535">
        <v>534</v>
      </c>
      <c r="B535">
        <v>27</v>
      </c>
      <c r="C535" t="s">
        <v>0</v>
      </c>
      <c r="D535" s="1">
        <v>44970</v>
      </c>
      <c r="E535" t="s">
        <v>6</v>
      </c>
      <c r="F535" t="s">
        <v>7</v>
      </c>
      <c r="G535" t="s">
        <v>3</v>
      </c>
      <c r="H535">
        <v>7</v>
      </c>
      <c r="I535">
        <v>460.59</v>
      </c>
      <c r="J535" t="s">
        <v>4</v>
      </c>
    </row>
    <row r="536" spans="1:10" x14ac:dyDescent="0.35">
      <c r="A536">
        <v>535</v>
      </c>
      <c r="B536">
        <v>42</v>
      </c>
      <c r="C536" t="s">
        <v>5</v>
      </c>
      <c r="D536" s="1">
        <v>44967</v>
      </c>
      <c r="E536" t="s">
        <v>19</v>
      </c>
      <c r="F536" t="s">
        <v>7</v>
      </c>
      <c r="G536" t="s">
        <v>3</v>
      </c>
      <c r="H536">
        <v>4</v>
      </c>
      <c r="I536">
        <v>297.74</v>
      </c>
      <c r="J536" t="s">
        <v>8</v>
      </c>
    </row>
    <row r="537" spans="1:10" x14ac:dyDescent="0.35">
      <c r="A537">
        <v>536</v>
      </c>
      <c r="B537">
        <v>49</v>
      </c>
      <c r="C537" t="s">
        <v>0</v>
      </c>
      <c r="D537" s="1">
        <v>45312</v>
      </c>
      <c r="E537" t="s">
        <v>11</v>
      </c>
      <c r="F537" t="s">
        <v>7</v>
      </c>
      <c r="G537" t="s">
        <v>3</v>
      </c>
      <c r="H537">
        <v>8</v>
      </c>
      <c r="I537">
        <v>140.76</v>
      </c>
      <c r="J537" t="s">
        <v>8</v>
      </c>
    </row>
    <row r="538" spans="1:10" x14ac:dyDescent="0.35">
      <c r="A538">
        <v>537</v>
      </c>
      <c r="B538">
        <v>46</v>
      </c>
      <c r="C538" t="s">
        <v>0</v>
      </c>
      <c r="D538" s="1">
        <v>45455</v>
      </c>
      <c r="E538" t="s">
        <v>6</v>
      </c>
      <c r="F538" t="s">
        <v>12</v>
      </c>
      <c r="G538" t="s">
        <v>20</v>
      </c>
      <c r="H538">
        <v>9</v>
      </c>
      <c r="I538">
        <v>23.17</v>
      </c>
      <c r="J538" t="s">
        <v>8</v>
      </c>
    </row>
    <row r="539" spans="1:10" x14ac:dyDescent="0.35">
      <c r="A539">
        <v>538</v>
      </c>
      <c r="B539">
        <v>30</v>
      </c>
      <c r="C539" t="s">
        <v>5</v>
      </c>
      <c r="D539" s="1">
        <v>45377</v>
      </c>
      <c r="E539" t="s">
        <v>19</v>
      </c>
      <c r="F539" t="s">
        <v>17</v>
      </c>
      <c r="G539" t="s">
        <v>13</v>
      </c>
      <c r="H539">
        <v>2</v>
      </c>
      <c r="I539">
        <v>109.71</v>
      </c>
      <c r="J539" t="s">
        <v>16</v>
      </c>
    </row>
    <row r="540" spans="1:10" x14ac:dyDescent="0.35">
      <c r="A540">
        <v>539</v>
      </c>
      <c r="B540">
        <v>16</v>
      </c>
      <c r="C540" t="s">
        <v>5</v>
      </c>
      <c r="D540" s="1">
        <v>45543</v>
      </c>
      <c r="E540" t="s">
        <v>6</v>
      </c>
      <c r="F540" t="s">
        <v>7</v>
      </c>
      <c r="G540" t="s">
        <v>3</v>
      </c>
      <c r="H540">
        <v>5</v>
      </c>
      <c r="I540">
        <v>365.72</v>
      </c>
      <c r="J540" t="s">
        <v>10</v>
      </c>
    </row>
    <row r="541" spans="1:10" x14ac:dyDescent="0.35">
      <c r="A541">
        <v>540</v>
      </c>
      <c r="B541">
        <v>62</v>
      </c>
      <c r="C541" t="s">
        <v>5</v>
      </c>
      <c r="D541" s="1">
        <v>45618</v>
      </c>
      <c r="E541" t="s">
        <v>1</v>
      </c>
      <c r="F541" t="s">
        <v>12</v>
      </c>
      <c r="G541" t="s">
        <v>20</v>
      </c>
      <c r="H541">
        <v>0</v>
      </c>
      <c r="I541">
        <v>136.96</v>
      </c>
      <c r="J541" t="s">
        <v>8</v>
      </c>
    </row>
    <row r="542" spans="1:10" x14ac:dyDescent="0.35">
      <c r="A542">
        <v>541</v>
      </c>
      <c r="B542">
        <v>21</v>
      </c>
      <c r="C542" t="s">
        <v>5</v>
      </c>
      <c r="D542" s="1">
        <v>45514</v>
      </c>
      <c r="E542" t="s">
        <v>11</v>
      </c>
      <c r="F542" t="s">
        <v>9</v>
      </c>
      <c r="G542" t="s">
        <v>3</v>
      </c>
      <c r="H542">
        <v>9</v>
      </c>
      <c r="I542">
        <v>90.5</v>
      </c>
      <c r="J542" t="s">
        <v>8</v>
      </c>
    </row>
    <row r="543" spans="1:10" x14ac:dyDescent="0.35">
      <c r="A543">
        <v>542</v>
      </c>
      <c r="B543">
        <v>67</v>
      </c>
      <c r="C543" t="s">
        <v>0</v>
      </c>
      <c r="D543" s="1">
        <v>45191</v>
      </c>
      <c r="E543" t="s">
        <v>11</v>
      </c>
      <c r="F543" t="s">
        <v>17</v>
      </c>
      <c r="G543" t="s">
        <v>18</v>
      </c>
      <c r="H543">
        <v>1</v>
      </c>
      <c r="I543">
        <v>123.96</v>
      </c>
      <c r="J543" t="s">
        <v>10</v>
      </c>
    </row>
    <row r="544" spans="1:10" x14ac:dyDescent="0.35">
      <c r="A544">
        <v>543</v>
      </c>
      <c r="B544">
        <v>29</v>
      </c>
      <c r="C544" t="s">
        <v>0</v>
      </c>
      <c r="D544" s="1">
        <v>45420</v>
      </c>
      <c r="E544" t="s">
        <v>1</v>
      </c>
      <c r="F544" t="s">
        <v>17</v>
      </c>
      <c r="G544" t="s">
        <v>3</v>
      </c>
      <c r="H544">
        <v>2</v>
      </c>
      <c r="I544">
        <v>319.14</v>
      </c>
      <c r="J544" t="s">
        <v>16</v>
      </c>
    </row>
    <row r="545" spans="1:10" x14ac:dyDescent="0.35">
      <c r="A545">
        <v>544</v>
      </c>
      <c r="B545">
        <v>44</v>
      </c>
      <c r="C545" t="s">
        <v>0</v>
      </c>
      <c r="D545" s="1">
        <v>45098</v>
      </c>
      <c r="E545" t="s">
        <v>11</v>
      </c>
      <c r="F545" t="s">
        <v>7</v>
      </c>
      <c r="G545" t="s">
        <v>3</v>
      </c>
      <c r="H545">
        <v>3</v>
      </c>
      <c r="I545">
        <v>201.54</v>
      </c>
      <c r="J545" t="s">
        <v>8</v>
      </c>
    </row>
    <row r="546" spans="1:10" x14ac:dyDescent="0.35">
      <c r="A546">
        <v>545</v>
      </c>
      <c r="B546">
        <v>26</v>
      </c>
      <c r="C546" t="s">
        <v>0</v>
      </c>
      <c r="D546" s="1">
        <v>45038</v>
      </c>
      <c r="E546" t="s">
        <v>1</v>
      </c>
      <c r="F546" t="s">
        <v>2</v>
      </c>
      <c r="G546" t="s">
        <v>3</v>
      </c>
      <c r="H546">
        <v>9</v>
      </c>
      <c r="I546">
        <v>66.22</v>
      </c>
      <c r="J546" t="s">
        <v>10</v>
      </c>
    </row>
    <row r="547" spans="1:10" x14ac:dyDescent="0.35">
      <c r="A547">
        <v>546</v>
      </c>
      <c r="B547">
        <v>5</v>
      </c>
      <c r="C547" t="s">
        <v>5</v>
      </c>
      <c r="D547" s="1">
        <v>45556</v>
      </c>
      <c r="E547" t="s">
        <v>11</v>
      </c>
      <c r="F547" t="s">
        <v>9</v>
      </c>
      <c r="G547" t="s">
        <v>3</v>
      </c>
      <c r="H547">
        <v>7</v>
      </c>
      <c r="I547">
        <v>336.51</v>
      </c>
      <c r="J547" t="s">
        <v>4</v>
      </c>
    </row>
    <row r="548" spans="1:10" x14ac:dyDescent="0.35">
      <c r="A548">
        <v>547</v>
      </c>
      <c r="B548">
        <v>56</v>
      </c>
      <c r="C548" t="s">
        <v>0</v>
      </c>
      <c r="D548" s="1">
        <v>45621</v>
      </c>
      <c r="E548" t="s">
        <v>19</v>
      </c>
      <c r="F548" t="s">
        <v>7</v>
      </c>
      <c r="G548" t="s">
        <v>3</v>
      </c>
      <c r="H548">
        <v>0</v>
      </c>
      <c r="I548">
        <v>354.87</v>
      </c>
      <c r="J548" t="s">
        <v>10</v>
      </c>
    </row>
    <row r="549" spans="1:10" x14ac:dyDescent="0.35">
      <c r="A549">
        <v>548</v>
      </c>
      <c r="B549">
        <v>49</v>
      </c>
      <c r="C549" t="s">
        <v>0</v>
      </c>
      <c r="D549" s="1">
        <v>45161</v>
      </c>
      <c r="E549" t="s">
        <v>11</v>
      </c>
      <c r="F549" t="s">
        <v>12</v>
      </c>
      <c r="G549" t="s">
        <v>20</v>
      </c>
      <c r="H549">
        <v>2</v>
      </c>
      <c r="I549">
        <v>142.16999999999999</v>
      </c>
      <c r="J549" t="s">
        <v>8</v>
      </c>
    </row>
    <row r="550" spans="1:10" x14ac:dyDescent="0.35">
      <c r="A550">
        <v>549</v>
      </c>
      <c r="B550">
        <v>77</v>
      </c>
      <c r="C550" t="s">
        <v>0</v>
      </c>
      <c r="D550" s="1">
        <v>45012</v>
      </c>
      <c r="E550" t="s">
        <v>19</v>
      </c>
      <c r="F550" t="s">
        <v>14</v>
      </c>
      <c r="G550" t="s">
        <v>13</v>
      </c>
      <c r="H550">
        <v>0</v>
      </c>
      <c r="I550">
        <v>360.39</v>
      </c>
      <c r="J550" t="s">
        <v>4</v>
      </c>
    </row>
    <row r="551" spans="1:10" x14ac:dyDescent="0.35">
      <c r="A551">
        <v>550</v>
      </c>
      <c r="B551">
        <v>16</v>
      </c>
      <c r="C551" t="s">
        <v>5</v>
      </c>
      <c r="D551" s="1">
        <v>45518</v>
      </c>
      <c r="E551" t="s">
        <v>6</v>
      </c>
      <c r="F551" t="s">
        <v>9</v>
      </c>
      <c r="G551" t="s">
        <v>3</v>
      </c>
      <c r="H551">
        <v>10</v>
      </c>
      <c r="I551">
        <v>118.6</v>
      </c>
      <c r="J551" t="s">
        <v>16</v>
      </c>
    </row>
    <row r="552" spans="1:10" x14ac:dyDescent="0.35">
      <c r="A552">
        <v>551</v>
      </c>
      <c r="B552">
        <v>14</v>
      </c>
      <c r="C552" t="s">
        <v>5</v>
      </c>
      <c r="D552" s="1">
        <v>45345</v>
      </c>
      <c r="E552" t="s">
        <v>6</v>
      </c>
      <c r="F552" t="s">
        <v>14</v>
      </c>
      <c r="G552" t="s">
        <v>3</v>
      </c>
      <c r="H552">
        <v>4</v>
      </c>
      <c r="I552">
        <v>145.43</v>
      </c>
      <c r="J552" t="s">
        <v>10</v>
      </c>
    </row>
    <row r="553" spans="1:10" x14ac:dyDescent="0.35">
      <c r="A553">
        <v>552</v>
      </c>
      <c r="B553">
        <v>79</v>
      </c>
      <c r="C553" t="s">
        <v>0</v>
      </c>
      <c r="D553" s="1">
        <v>45505</v>
      </c>
      <c r="E553" t="s">
        <v>6</v>
      </c>
      <c r="F553" t="s">
        <v>14</v>
      </c>
      <c r="G553" t="s">
        <v>13</v>
      </c>
      <c r="H553">
        <v>6</v>
      </c>
      <c r="I553">
        <v>285.01</v>
      </c>
      <c r="J553" t="s">
        <v>10</v>
      </c>
    </row>
    <row r="554" spans="1:10" x14ac:dyDescent="0.35">
      <c r="A554">
        <v>553</v>
      </c>
      <c r="B554">
        <v>72</v>
      </c>
      <c r="C554" t="s">
        <v>0</v>
      </c>
      <c r="D554" s="1">
        <v>45110</v>
      </c>
      <c r="E554" t="s">
        <v>19</v>
      </c>
      <c r="F554" t="s">
        <v>14</v>
      </c>
      <c r="G554" t="s">
        <v>18</v>
      </c>
      <c r="H554">
        <v>9</v>
      </c>
      <c r="I554">
        <v>185.29</v>
      </c>
      <c r="J554" t="s">
        <v>10</v>
      </c>
    </row>
    <row r="555" spans="1:10" x14ac:dyDescent="0.35">
      <c r="A555">
        <v>554</v>
      </c>
      <c r="B555">
        <v>16</v>
      </c>
      <c r="C555" t="s">
        <v>5</v>
      </c>
      <c r="D555" s="1">
        <v>45068</v>
      </c>
      <c r="E555" t="s">
        <v>6</v>
      </c>
      <c r="F555" t="s">
        <v>7</v>
      </c>
      <c r="G555" t="s">
        <v>3</v>
      </c>
      <c r="H555">
        <v>2</v>
      </c>
      <c r="I555">
        <v>68.13</v>
      </c>
      <c r="J555" t="s">
        <v>10</v>
      </c>
    </row>
    <row r="556" spans="1:10" x14ac:dyDescent="0.35">
      <c r="A556">
        <v>555</v>
      </c>
      <c r="B556">
        <v>79</v>
      </c>
      <c r="C556" t="s">
        <v>5</v>
      </c>
      <c r="D556" s="1">
        <v>45273</v>
      </c>
      <c r="E556" t="s">
        <v>1</v>
      </c>
      <c r="F556" t="s">
        <v>9</v>
      </c>
      <c r="G556" t="s">
        <v>3</v>
      </c>
      <c r="H556">
        <v>6</v>
      </c>
      <c r="I556">
        <v>482.99</v>
      </c>
      <c r="J556" t="s">
        <v>4</v>
      </c>
    </row>
    <row r="557" spans="1:10" x14ac:dyDescent="0.35">
      <c r="A557">
        <v>556</v>
      </c>
      <c r="B557">
        <v>61</v>
      </c>
      <c r="C557" t="s">
        <v>0</v>
      </c>
      <c r="D557" s="1">
        <v>45020</v>
      </c>
      <c r="E557" t="s">
        <v>11</v>
      </c>
      <c r="F557" t="s">
        <v>17</v>
      </c>
      <c r="G557" t="s">
        <v>15</v>
      </c>
      <c r="H557">
        <v>4</v>
      </c>
      <c r="I557">
        <v>126.45</v>
      </c>
      <c r="J557" t="s">
        <v>4</v>
      </c>
    </row>
    <row r="558" spans="1:10" x14ac:dyDescent="0.35">
      <c r="A558">
        <v>557</v>
      </c>
      <c r="B558">
        <v>50</v>
      </c>
      <c r="C558" t="s">
        <v>0</v>
      </c>
      <c r="D558" s="1">
        <v>45550</v>
      </c>
      <c r="E558" t="s">
        <v>19</v>
      </c>
      <c r="F558" t="s">
        <v>2</v>
      </c>
      <c r="G558" t="s">
        <v>3</v>
      </c>
      <c r="H558">
        <v>9</v>
      </c>
      <c r="I558">
        <v>47.58</v>
      </c>
      <c r="J558" t="s">
        <v>8</v>
      </c>
    </row>
    <row r="559" spans="1:10" x14ac:dyDescent="0.35">
      <c r="A559">
        <v>558</v>
      </c>
      <c r="B559">
        <v>57</v>
      </c>
      <c r="C559" t="s">
        <v>5</v>
      </c>
      <c r="D559" s="1">
        <v>45582</v>
      </c>
      <c r="E559" t="s">
        <v>1</v>
      </c>
      <c r="F559" t="s">
        <v>12</v>
      </c>
      <c r="G559" t="s">
        <v>3</v>
      </c>
      <c r="H559">
        <v>4</v>
      </c>
      <c r="I559">
        <v>113.48</v>
      </c>
      <c r="J559" t="s">
        <v>8</v>
      </c>
    </row>
    <row r="560" spans="1:10" x14ac:dyDescent="0.35">
      <c r="A560">
        <v>559</v>
      </c>
      <c r="B560">
        <v>5</v>
      </c>
      <c r="C560" t="s">
        <v>0</v>
      </c>
      <c r="D560" s="1">
        <v>45556</v>
      </c>
      <c r="E560" t="s">
        <v>1</v>
      </c>
      <c r="F560" t="s">
        <v>17</v>
      </c>
      <c r="G560" t="s">
        <v>15</v>
      </c>
      <c r="H560">
        <v>2</v>
      </c>
      <c r="I560">
        <v>61.68</v>
      </c>
      <c r="J560" t="s">
        <v>16</v>
      </c>
    </row>
    <row r="561" spans="1:10" x14ac:dyDescent="0.35">
      <c r="A561">
        <v>560</v>
      </c>
      <c r="B561">
        <v>51</v>
      </c>
      <c r="C561" t="s">
        <v>0</v>
      </c>
      <c r="D561" s="1">
        <v>45336</v>
      </c>
      <c r="E561" t="s">
        <v>1</v>
      </c>
      <c r="F561" t="s">
        <v>14</v>
      </c>
      <c r="G561" t="s">
        <v>3</v>
      </c>
      <c r="H561">
        <v>0</v>
      </c>
      <c r="I561">
        <v>373.72</v>
      </c>
      <c r="J561" t="s">
        <v>4</v>
      </c>
    </row>
    <row r="562" spans="1:10" x14ac:dyDescent="0.35">
      <c r="A562">
        <v>561</v>
      </c>
      <c r="B562">
        <v>37</v>
      </c>
      <c r="C562" t="s">
        <v>0</v>
      </c>
      <c r="D562" s="1">
        <v>45019</v>
      </c>
      <c r="E562" t="s">
        <v>19</v>
      </c>
      <c r="F562" t="s">
        <v>9</v>
      </c>
      <c r="G562" t="s">
        <v>3</v>
      </c>
      <c r="H562">
        <v>4</v>
      </c>
      <c r="I562">
        <v>128.62</v>
      </c>
      <c r="J562" t="s">
        <v>8</v>
      </c>
    </row>
    <row r="563" spans="1:10" x14ac:dyDescent="0.35">
      <c r="A563">
        <v>562</v>
      </c>
      <c r="B563">
        <v>74</v>
      </c>
      <c r="C563" t="s">
        <v>5</v>
      </c>
      <c r="D563" s="1">
        <v>45392</v>
      </c>
      <c r="E563" t="s">
        <v>19</v>
      </c>
      <c r="F563" t="s">
        <v>12</v>
      </c>
      <c r="G563" t="s">
        <v>13</v>
      </c>
      <c r="H563">
        <v>6</v>
      </c>
      <c r="I563">
        <v>262.99</v>
      </c>
      <c r="J563" t="s">
        <v>4</v>
      </c>
    </row>
    <row r="564" spans="1:10" x14ac:dyDescent="0.35">
      <c r="A564">
        <v>563</v>
      </c>
      <c r="B564">
        <v>44</v>
      </c>
      <c r="C564" t="s">
        <v>5</v>
      </c>
      <c r="D564" s="1">
        <v>45442</v>
      </c>
      <c r="E564" t="s">
        <v>19</v>
      </c>
      <c r="F564" t="s">
        <v>14</v>
      </c>
      <c r="G564" t="s">
        <v>3</v>
      </c>
      <c r="H564">
        <v>9</v>
      </c>
      <c r="I564">
        <v>140.07</v>
      </c>
      <c r="J564" t="s">
        <v>10</v>
      </c>
    </row>
    <row r="565" spans="1:10" x14ac:dyDescent="0.35">
      <c r="A565">
        <v>564</v>
      </c>
      <c r="B565">
        <v>62</v>
      </c>
      <c r="C565" t="s">
        <v>5</v>
      </c>
      <c r="D565" s="1">
        <v>45313</v>
      </c>
      <c r="E565" t="s">
        <v>19</v>
      </c>
      <c r="F565" t="s">
        <v>9</v>
      </c>
      <c r="G565" t="s">
        <v>3</v>
      </c>
      <c r="H565">
        <v>7</v>
      </c>
      <c r="I565">
        <v>347.17</v>
      </c>
      <c r="J565" t="s">
        <v>4</v>
      </c>
    </row>
    <row r="566" spans="1:10" x14ac:dyDescent="0.35">
      <c r="A566">
        <v>565</v>
      </c>
      <c r="B566">
        <v>34</v>
      </c>
      <c r="C566" t="s">
        <v>5</v>
      </c>
      <c r="D566" s="1">
        <v>45420</v>
      </c>
      <c r="E566" t="s">
        <v>6</v>
      </c>
      <c r="F566" t="s">
        <v>2</v>
      </c>
      <c r="G566" t="s">
        <v>3</v>
      </c>
      <c r="H566">
        <v>10</v>
      </c>
      <c r="I566">
        <v>398.55</v>
      </c>
      <c r="J566" t="s">
        <v>8</v>
      </c>
    </row>
    <row r="567" spans="1:10" x14ac:dyDescent="0.35">
      <c r="A567">
        <v>566</v>
      </c>
      <c r="B567">
        <v>30</v>
      </c>
      <c r="C567" t="s">
        <v>0</v>
      </c>
      <c r="D567" s="1">
        <v>45620</v>
      </c>
      <c r="E567" t="s">
        <v>6</v>
      </c>
      <c r="F567" t="s">
        <v>7</v>
      </c>
      <c r="G567" t="s">
        <v>3</v>
      </c>
      <c r="H567">
        <v>5</v>
      </c>
      <c r="I567">
        <v>267.92</v>
      </c>
      <c r="J567" t="s">
        <v>4</v>
      </c>
    </row>
    <row r="568" spans="1:10" x14ac:dyDescent="0.35">
      <c r="A568">
        <v>567</v>
      </c>
      <c r="B568">
        <v>32</v>
      </c>
      <c r="C568" t="s">
        <v>0</v>
      </c>
      <c r="D568" s="1">
        <v>45644</v>
      </c>
      <c r="E568" t="s">
        <v>11</v>
      </c>
      <c r="F568" t="s">
        <v>14</v>
      </c>
      <c r="G568" t="s">
        <v>20</v>
      </c>
      <c r="H568">
        <v>10</v>
      </c>
      <c r="I568">
        <v>379.42</v>
      </c>
      <c r="J568" t="s">
        <v>16</v>
      </c>
    </row>
    <row r="569" spans="1:10" x14ac:dyDescent="0.35">
      <c r="A569">
        <v>568</v>
      </c>
      <c r="B569">
        <v>23</v>
      </c>
      <c r="C569" t="s">
        <v>0</v>
      </c>
      <c r="D569" s="1">
        <v>45004</v>
      </c>
      <c r="E569" t="s">
        <v>19</v>
      </c>
      <c r="F569" t="s">
        <v>9</v>
      </c>
      <c r="G569" t="s">
        <v>3</v>
      </c>
      <c r="H569">
        <v>5</v>
      </c>
      <c r="I569">
        <v>124.91</v>
      </c>
      <c r="J569" t="s">
        <v>16</v>
      </c>
    </row>
    <row r="570" spans="1:10" x14ac:dyDescent="0.35">
      <c r="A570">
        <v>569</v>
      </c>
      <c r="B570">
        <v>25</v>
      </c>
      <c r="C570" t="s">
        <v>0</v>
      </c>
      <c r="D570" s="1">
        <v>45114</v>
      </c>
      <c r="E570" t="s">
        <v>1</v>
      </c>
      <c r="F570" t="s">
        <v>7</v>
      </c>
      <c r="G570" t="s">
        <v>3</v>
      </c>
      <c r="H570">
        <v>3</v>
      </c>
      <c r="I570">
        <v>373.01</v>
      </c>
      <c r="J570" t="s">
        <v>16</v>
      </c>
    </row>
    <row r="571" spans="1:10" x14ac:dyDescent="0.35">
      <c r="A571">
        <v>570</v>
      </c>
      <c r="B571">
        <v>26</v>
      </c>
      <c r="C571" t="s">
        <v>5</v>
      </c>
      <c r="D571" s="1">
        <v>45138</v>
      </c>
      <c r="E571" t="s">
        <v>19</v>
      </c>
      <c r="F571" t="s">
        <v>17</v>
      </c>
      <c r="G571" t="s">
        <v>13</v>
      </c>
      <c r="H571">
        <v>1</v>
      </c>
      <c r="I571">
        <v>77.540000000000006</v>
      </c>
      <c r="J571" t="s">
        <v>4</v>
      </c>
    </row>
    <row r="572" spans="1:10" x14ac:dyDescent="0.35">
      <c r="A572">
        <v>571</v>
      </c>
      <c r="B572">
        <v>64</v>
      </c>
      <c r="C572" t="s">
        <v>5</v>
      </c>
      <c r="D572" s="1">
        <v>45619</v>
      </c>
      <c r="E572" t="s">
        <v>11</v>
      </c>
      <c r="F572" t="s">
        <v>7</v>
      </c>
      <c r="G572" t="s">
        <v>3</v>
      </c>
      <c r="H572">
        <v>7</v>
      </c>
      <c r="I572">
        <v>198.17</v>
      </c>
      <c r="J572" t="s">
        <v>16</v>
      </c>
    </row>
    <row r="573" spans="1:10" x14ac:dyDescent="0.35">
      <c r="A573">
        <v>572</v>
      </c>
      <c r="B573">
        <v>36</v>
      </c>
      <c r="C573" t="s">
        <v>0</v>
      </c>
      <c r="D573" s="1">
        <v>45431</v>
      </c>
      <c r="E573" t="s">
        <v>1</v>
      </c>
      <c r="F573" t="s">
        <v>9</v>
      </c>
      <c r="G573" t="s">
        <v>3</v>
      </c>
      <c r="H573">
        <v>8</v>
      </c>
      <c r="I573">
        <v>154.53</v>
      </c>
      <c r="J573" t="s">
        <v>8</v>
      </c>
    </row>
    <row r="574" spans="1:10" x14ac:dyDescent="0.35">
      <c r="A574">
        <v>573</v>
      </c>
      <c r="B574">
        <v>7</v>
      </c>
      <c r="C574" t="s">
        <v>0</v>
      </c>
      <c r="D574" s="1">
        <v>45517</v>
      </c>
      <c r="E574" t="s">
        <v>6</v>
      </c>
      <c r="F574" t="s">
        <v>17</v>
      </c>
      <c r="G574" t="s">
        <v>3</v>
      </c>
      <c r="H574">
        <v>0</v>
      </c>
      <c r="I574">
        <v>261.19</v>
      </c>
      <c r="J574" t="s">
        <v>10</v>
      </c>
    </row>
    <row r="575" spans="1:10" x14ac:dyDescent="0.35">
      <c r="A575">
        <v>574</v>
      </c>
      <c r="B575">
        <v>59</v>
      </c>
      <c r="C575" t="s">
        <v>5</v>
      </c>
      <c r="D575" s="1">
        <v>45629</v>
      </c>
      <c r="E575" t="s">
        <v>6</v>
      </c>
      <c r="F575" t="s">
        <v>17</v>
      </c>
      <c r="G575" t="s">
        <v>18</v>
      </c>
      <c r="H575">
        <v>0</v>
      </c>
      <c r="I575">
        <v>25.67</v>
      </c>
      <c r="J575" t="s">
        <v>8</v>
      </c>
    </row>
    <row r="576" spans="1:10" x14ac:dyDescent="0.35">
      <c r="A576">
        <v>575</v>
      </c>
      <c r="B576">
        <v>13</v>
      </c>
      <c r="C576" t="s">
        <v>0</v>
      </c>
      <c r="D576" s="1">
        <v>45315</v>
      </c>
      <c r="E576" t="s">
        <v>19</v>
      </c>
      <c r="F576" t="s">
        <v>9</v>
      </c>
      <c r="G576" t="s">
        <v>3</v>
      </c>
      <c r="H576">
        <v>9</v>
      </c>
      <c r="I576">
        <v>433.68</v>
      </c>
      <c r="J576" t="s">
        <v>8</v>
      </c>
    </row>
    <row r="577" spans="1:10" x14ac:dyDescent="0.35">
      <c r="A577">
        <v>576</v>
      </c>
      <c r="B577">
        <v>31</v>
      </c>
      <c r="C577" t="s">
        <v>0</v>
      </c>
      <c r="D577" s="1">
        <v>45488</v>
      </c>
      <c r="E577" t="s">
        <v>6</v>
      </c>
      <c r="F577" t="s">
        <v>14</v>
      </c>
      <c r="G577" t="s">
        <v>3</v>
      </c>
      <c r="H577">
        <v>5</v>
      </c>
      <c r="I577">
        <v>195.64</v>
      </c>
      <c r="J577" t="s">
        <v>10</v>
      </c>
    </row>
    <row r="578" spans="1:10" x14ac:dyDescent="0.35">
      <c r="A578">
        <v>577</v>
      </c>
      <c r="B578">
        <v>54</v>
      </c>
      <c r="C578" t="s">
        <v>0</v>
      </c>
      <c r="D578" s="1">
        <v>45361</v>
      </c>
      <c r="E578" t="s">
        <v>19</v>
      </c>
      <c r="F578" t="s">
        <v>17</v>
      </c>
      <c r="G578" t="s">
        <v>20</v>
      </c>
      <c r="H578">
        <v>4</v>
      </c>
      <c r="I578">
        <v>236.35</v>
      </c>
      <c r="J578" t="s">
        <v>8</v>
      </c>
    </row>
    <row r="579" spans="1:10" x14ac:dyDescent="0.35">
      <c r="A579">
        <v>578</v>
      </c>
      <c r="B579">
        <v>30</v>
      </c>
      <c r="C579" t="s">
        <v>5</v>
      </c>
      <c r="D579" s="1">
        <v>45516</v>
      </c>
      <c r="E579" t="s">
        <v>19</v>
      </c>
      <c r="F579" t="s">
        <v>7</v>
      </c>
      <c r="G579" t="s">
        <v>3</v>
      </c>
      <c r="H579">
        <v>3</v>
      </c>
      <c r="I579">
        <v>286.56</v>
      </c>
      <c r="J579" t="s">
        <v>10</v>
      </c>
    </row>
    <row r="580" spans="1:10" x14ac:dyDescent="0.35">
      <c r="A580">
        <v>579</v>
      </c>
      <c r="B580">
        <v>20</v>
      </c>
      <c r="C580" t="s">
        <v>0</v>
      </c>
      <c r="D580" s="1">
        <v>45127</v>
      </c>
      <c r="E580" t="s">
        <v>11</v>
      </c>
      <c r="F580" t="s">
        <v>17</v>
      </c>
      <c r="G580" t="s">
        <v>13</v>
      </c>
      <c r="H580">
        <v>6</v>
      </c>
      <c r="I580">
        <v>259.81</v>
      </c>
      <c r="J580" t="s">
        <v>16</v>
      </c>
    </row>
    <row r="581" spans="1:10" x14ac:dyDescent="0.35">
      <c r="A581">
        <v>580</v>
      </c>
      <c r="B581">
        <v>33</v>
      </c>
      <c r="C581" t="s">
        <v>5</v>
      </c>
      <c r="D581" s="1">
        <v>45425</v>
      </c>
      <c r="E581" t="s">
        <v>6</v>
      </c>
      <c r="F581" t="s">
        <v>14</v>
      </c>
      <c r="G581" t="s">
        <v>15</v>
      </c>
      <c r="H581">
        <v>2</v>
      </c>
      <c r="I581">
        <v>48.82</v>
      </c>
      <c r="J581" t="s">
        <v>16</v>
      </c>
    </row>
    <row r="582" spans="1:10" x14ac:dyDescent="0.35">
      <c r="A582">
        <v>581</v>
      </c>
      <c r="B582">
        <v>13</v>
      </c>
      <c r="C582" t="s">
        <v>0</v>
      </c>
      <c r="D582" s="1">
        <v>45414</v>
      </c>
      <c r="E582" t="s">
        <v>19</v>
      </c>
      <c r="F582" t="s">
        <v>7</v>
      </c>
      <c r="G582" t="s">
        <v>3</v>
      </c>
      <c r="H582">
        <v>4</v>
      </c>
      <c r="I582">
        <v>193.26</v>
      </c>
      <c r="J582" t="s">
        <v>16</v>
      </c>
    </row>
    <row r="583" spans="1:10" x14ac:dyDescent="0.35">
      <c r="A583">
        <v>582</v>
      </c>
      <c r="B583">
        <v>53</v>
      </c>
      <c r="C583" t="s">
        <v>5</v>
      </c>
      <c r="D583" s="1">
        <v>45279</v>
      </c>
      <c r="E583" t="s">
        <v>19</v>
      </c>
      <c r="F583" t="s">
        <v>2</v>
      </c>
      <c r="G583" t="s">
        <v>3</v>
      </c>
      <c r="H583">
        <v>10</v>
      </c>
      <c r="I583">
        <v>482.3</v>
      </c>
      <c r="J583" t="s">
        <v>8</v>
      </c>
    </row>
    <row r="584" spans="1:10" x14ac:dyDescent="0.35">
      <c r="A584">
        <v>583</v>
      </c>
      <c r="B584">
        <v>84</v>
      </c>
      <c r="C584" t="s">
        <v>5</v>
      </c>
      <c r="D584" s="1">
        <v>45517</v>
      </c>
      <c r="E584" t="s">
        <v>19</v>
      </c>
      <c r="F584" t="s">
        <v>9</v>
      </c>
      <c r="G584" t="s">
        <v>3</v>
      </c>
      <c r="H584">
        <v>5</v>
      </c>
      <c r="I584">
        <v>176.04</v>
      </c>
      <c r="J584" t="s">
        <v>10</v>
      </c>
    </row>
    <row r="585" spans="1:10" x14ac:dyDescent="0.35">
      <c r="A585">
        <v>584</v>
      </c>
      <c r="B585">
        <v>49</v>
      </c>
      <c r="C585" t="s">
        <v>0</v>
      </c>
      <c r="D585" s="1">
        <v>45384</v>
      </c>
      <c r="E585" t="s">
        <v>6</v>
      </c>
      <c r="F585" t="s">
        <v>2</v>
      </c>
      <c r="G585" t="s">
        <v>3</v>
      </c>
      <c r="H585">
        <v>10</v>
      </c>
      <c r="I585">
        <v>479.17</v>
      </c>
      <c r="J585" t="s">
        <v>8</v>
      </c>
    </row>
    <row r="586" spans="1:10" x14ac:dyDescent="0.35">
      <c r="A586">
        <v>585</v>
      </c>
      <c r="B586">
        <v>54</v>
      </c>
      <c r="C586" t="s">
        <v>0</v>
      </c>
      <c r="D586" s="1">
        <v>45582</v>
      </c>
      <c r="E586" t="s">
        <v>11</v>
      </c>
      <c r="F586" t="s">
        <v>14</v>
      </c>
      <c r="G586" t="s">
        <v>15</v>
      </c>
      <c r="H586">
        <v>2</v>
      </c>
      <c r="I586">
        <v>184.94</v>
      </c>
      <c r="J586" t="s">
        <v>16</v>
      </c>
    </row>
    <row r="587" spans="1:10" x14ac:dyDescent="0.35">
      <c r="A587">
        <v>586</v>
      </c>
      <c r="B587">
        <v>38</v>
      </c>
      <c r="C587" t="s">
        <v>0</v>
      </c>
      <c r="D587" s="1">
        <v>45251</v>
      </c>
      <c r="E587" t="s">
        <v>6</v>
      </c>
      <c r="F587" t="s">
        <v>7</v>
      </c>
      <c r="G587" t="s">
        <v>3</v>
      </c>
      <c r="H587">
        <v>4</v>
      </c>
      <c r="I587">
        <v>446.09</v>
      </c>
      <c r="J587" t="s">
        <v>16</v>
      </c>
    </row>
    <row r="588" spans="1:10" x14ac:dyDescent="0.35">
      <c r="A588">
        <v>587</v>
      </c>
      <c r="B588">
        <v>58</v>
      </c>
      <c r="C588" t="s">
        <v>0</v>
      </c>
      <c r="D588" s="1">
        <v>45528</v>
      </c>
      <c r="E588" t="s">
        <v>1</v>
      </c>
      <c r="F588" t="s">
        <v>9</v>
      </c>
      <c r="G588" t="s">
        <v>3</v>
      </c>
      <c r="H588">
        <v>2</v>
      </c>
      <c r="I588">
        <v>430.02</v>
      </c>
      <c r="J588" t="s">
        <v>8</v>
      </c>
    </row>
    <row r="589" spans="1:10" x14ac:dyDescent="0.35">
      <c r="A589">
        <v>588</v>
      </c>
      <c r="B589">
        <v>33</v>
      </c>
      <c r="C589" t="s">
        <v>5</v>
      </c>
      <c r="D589" s="1">
        <v>45167</v>
      </c>
      <c r="E589" t="s">
        <v>1</v>
      </c>
      <c r="F589" t="s">
        <v>7</v>
      </c>
      <c r="G589" t="s">
        <v>3</v>
      </c>
      <c r="H589">
        <v>2</v>
      </c>
      <c r="I589">
        <v>210.58</v>
      </c>
      <c r="J589" t="s">
        <v>4</v>
      </c>
    </row>
    <row r="590" spans="1:10" x14ac:dyDescent="0.35">
      <c r="A590">
        <v>589</v>
      </c>
      <c r="B590">
        <v>71</v>
      </c>
      <c r="C590" t="s">
        <v>5</v>
      </c>
      <c r="D590" s="1">
        <v>44992</v>
      </c>
      <c r="E590" t="s">
        <v>11</v>
      </c>
      <c r="F590" t="s">
        <v>12</v>
      </c>
      <c r="G590" t="s">
        <v>20</v>
      </c>
      <c r="H590">
        <v>8</v>
      </c>
      <c r="I590">
        <v>387.2</v>
      </c>
      <c r="J590" t="s">
        <v>4</v>
      </c>
    </row>
    <row r="591" spans="1:10" x14ac:dyDescent="0.35">
      <c r="A591">
        <v>590</v>
      </c>
      <c r="B591">
        <v>80</v>
      </c>
      <c r="C591" t="s">
        <v>5</v>
      </c>
      <c r="D591" s="1">
        <v>45033</v>
      </c>
      <c r="E591" t="s">
        <v>11</v>
      </c>
      <c r="F591" t="s">
        <v>14</v>
      </c>
      <c r="G591" t="s">
        <v>20</v>
      </c>
      <c r="H591">
        <v>4</v>
      </c>
      <c r="I591">
        <v>130.09</v>
      </c>
      <c r="J591" t="s">
        <v>16</v>
      </c>
    </row>
    <row r="592" spans="1:10" x14ac:dyDescent="0.35">
      <c r="A592">
        <v>591</v>
      </c>
      <c r="B592">
        <v>17</v>
      </c>
      <c r="C592" t="s">
        <v>5</v>
      </c>
      <c r="D592" s="1">
        <v>45380</v>
      </c>
      <c r="E592" t="s">
        <v>1</v>
      </c>
      <c r="F592" t="s">
        <v>7</v>
      </c>
      <c r="G592" t="s">
        <v>3</v>
      </c>
      <c r="H592">
        <v>0</v>
      </c>
      <c r="I592">
        <v>36.869999999999997</v>
      </c>
      <c r="J592" t="s">
        <v>16</v>
      </c>
    </row>
    <row r="593" spans="1:10" x14ac:dyDescent="0.35">
      <c r="A593">
        <v>592</v>
      </c>
      <c r="B593">
        <v>60</v>
      </c>
      <c r="C593" t="s">
        <v>0</v>
      </c>
      <c r="D593" s="1">
        <v>45260</v>
      </c>
      <c r="E593" t="s">
        <v>6</v>
      </c>
      <c r="F593" t="s">
        <v>12</v>
      </c>
      <c r="G593" t="s">
        <v>13</v>
      </c>
      <c r="H593">
        <v>8</v>
      </c>
      <c r="I593">
        <v>104.98</v>
      </c>
      <c r="J593" t="s">
        <v>10</v>
      </c>
    </row>
    <row r="594" spans="1:10" x14ac:dyDescent="0.35">
      <c r="A594">
        <v>593</v>
      </c>
      <c r="B594">
        <v>82</v>
      </c>
      <c r="C594" t="s">
        <v>0</v>
      </c>
      <c r="D594" s="1">
        <v>45573</v>
      </c>
      <c r="E594" t="s">
        <v>19</v>
      </c>
      <c r="F594" t="s">
        <v>7</v>
      </c>
      <c r="G594" t="s">
        <v>3</v>
      </c>
      <c r="H594">
        <v>5</v>
      </c>
      <c r="I594">
        <v>251.19</v>
      </c>
      <c r="J594" t="s">
        <v>8</v>
      </c>
    </row>
    <row r="595" spans="1:10" x14ac:dyDescent="0.35">
      <c r="A595">
        <v>594</v>
      </c>
      <c r="B595">
        <v>40</v>
      </c>
      <c r="C595" t="s">
        <v>0</v>
      </c>
      <c r="D595" s="1">
        <v>45018</v>
      </c>
      <c r="E595" t="s">
        <v>6</v>
      </c>
      <c r="F595" t="s">
        <v>12</v>
      </c>
      <c r="G595" t="s">
        <v>18</v>
      </c>
      <c r="H595">
        <v>2</v>
      </c>
      <c r="I595">
        <v>165.71</v>
      </c>
      <c r="J595" t="s">
        <v>4</v>
      </c>
    </row>
    <row r="596" spans="1:10" x14ac:dyDescent="0.35">
      <c r="A596">
        <v>595</v>
      </c>
      <c r="B596">
        <v>45</v>
      </c>
      <c r="C596" t="s">
        <v>0</v>
      </c>
      <c r="D596" s="1">
        <v>45462</v>
      </c>
      <c r="E596" t="s">
        <v>6</v>
      </c>
      <c r="F596" t="s">
        <v>17</v>
      </c>
      <c r="G596" t="s">
        <v>3</v>
      </c>
      <c r="H596">
        <v>0</v>
      </c>
      <c r="I596">
        <v>350.13</v>
      </c>
      <c r="J596" t="s">
        <v>10</v>
      </c>
    </row>
    <row r="597" spans="1:10" x14ac:dyDescent="0.35">
      <c r="A597">
        <v>596</v>
      </c>
      <c r="B597">
        <v>2</v>
      </c>
      <c r="C597" t="s">
        <v>0</v>
      </c>
      <c r="D597" s="1">
        <v>45415</v>
      </c>
      <c r="E597" t="s">
        <v>19</v>
      </c>
      <c r="F597" t="s">
        <v>14</v>
      </c>
      <c r="G597" t="s">
        <v>3</v>
      </c>
      <c r="H597">
        <v>3</v>
      </c>
      <c r="I597">
        <v>402.45</v>
      </c>
      <c r="J597" t="s">
        <v>16</v>
      </c>
    </row>
    <row r="598" spans="1:10" x14ac:dyDescent="0.35">
      <c r="A598">
        <v>597</v>
      </c>
      <c r="B598">
        <v>72</v>
      </c>
      <c r="C598" t="s">
        <v>0</v>
      </c>
      <c r="D598" s="1">
        <v>45120</v>
      </c>
      <c r="E598" t="s">
        <v>6</v>
      </c>
      <c r="F598" t="s">
        <v>12</v>
      </c>
      <c r="G598" t="s">
        <v>13</v>
      </c>
      <c r="H598">
        <v>2</v>
      </c>
      <c r="I598">
        <v>363.17</v>
      </c>
      <c r="J598" t="s">
        <v>10</v>
      </c>
    </row>
    <row r="599" spans="1:10" x14ac:dyDescent="0.35">
      <c r="A599">
        <v>598</v>
      </c>
      <c r="B599">
        <v>34</v>
      </c>
      <c r="C599" t="s">
        <v>5</v>
      </c>
      <c r="D599" s="1">
        <v>45314</v>
      </c>
      <c r="E599" t="s">
        <v>6</v>
      </c>
      <c r="F599" t="s">
        <v>17</v>
      </c>
      <c r="G599" t="s">
        <v>13</v>
      </c>
      <c r="H599">
        <v>8</v>
      </c>
      <c r="I599">
        <v>386.98</v>
      </c>
      <c r="J599" t="s">
        <v>16</v>
      </c>
    </row>
    <row r="600" spans="1:10" x14ac:dyDescent="0.35">
      <c r="A600">
        <v>599</v>
      </c>
      <c r="B600">
        <v>69</v>
      </c>
      <c r="C600" t="s">
        <v>0</v>
      </c>
      <c r="D600" s="1">
        <v>45218</v>
      </c>
      <c r="E600" t="s">
        <v>6</v>
      </c>
      <c r="F600" t="s">
        <v>7</v>
      </c>
      <c r="G600" t="s">
        <v>3</v>
      </c>
      <c r="H600">
        <v>3</v>
      </c>
      <c r="I600">
        <v>429.67</v>
      </c>
      <c r="J600" t="s">
        <v>8</v>
      </c>
    </row>
    <row r="601" spans="1:10" x14ac:dyDescent="0.35">
      <c r="A601">
        <v>600</v>
      </c>
      <c r="B601">
        <v>15</v>
      </c>
      <c r="C601" t="s">
        <v>0</v>
      </c>
      <c r="D601" s="1">
        <v>45066</v>
      </c>
      <c r="E601" t="s">
        <v>6</v>
      </c>
      <c r="F601" t="s">
        <v>14</v>
      </c>
      <c r="G601" t="s">
        <v>18</v>
      </c>
      <c r="H601">
        <v>9</v>
      </c>
      <c r="I601">
        <v>256.16000000000003</v>
      </c>
      <c r="J601" t="s">
        <v>16</v>
      </c>
    </row>
    <row r="602" spans="1:10" x14ac:dyDescent="0.35">
      <c r="A602">
        <v>601</v>
      </c>
      <c r="B602">
        <v>7</v>
      </c>
      <c r="C602" t="s">
        <v>5</v>
      </c>
      <c r="D602" s="1">
        <v>44946</v>
      </c>
      <c r="E602" t="s">
        <v>1</v>
      </c>
      <c r="F602" t="s">
        <v>17</v>
      </c>
      <c r="G602" t="s">
        <v>15</v>
      </c>
      <c r="H602">
        <v>4</v>
      </c>
      <c r="I602">
        <v>149.21</v>
      </c>
      <c r="J602" t="s">
        <v>10</v>
      </c>
    </row>
    <row r="603" spans="1:10" x14ac:dyDescent="0.35">
      <c r="A603">
        <v>602</v>
      </c>
      <c r="B603">
        <v>12</v>
      </c>
      <c r="C603" t="s">
        <v>5</v>
      </c>
      <c r="D603" s="1">
        <v>44935</v>
      </c>
      <c r="E603" t="s">
        <v>11</v>
      </c>
      <c r="F603" t="s">
        <v>17</v>
      </c>
      <c r="G603" t="s">
        <v>20</v>
      </c>
      <c r="H603">
        <v>3</v>
      </c>
      <c r="I603">
        <v>184.12</v>
      </c>
      <c r="J603" t="s">
        <v>16</v>
      </c>
    </row>
    <row r="604" spans="1:10" x14ac:dyDescent="0.35">
      <c r="A604">
        <v>603</v>
      </c>
      <c r="B604">
        <v>60</v>
      </c>
      <c r="C604" t="s">
        <v>5</v>
      </c>
      <c r="D604" s="1">
        <v>45437</v>
      </c>
      <c r="E604" t="s">
        <v>19</v>
      </c>
      <c r="F604" t="s">
        <v>14</v>
      </c>
      <c r="G604" t="s">
        <v>15</v>
      </c>
      <c r="H604">
        <v>2</v>
      </c>
      <c r="I604">
        <v>46.9</v>
      </c>
      <c r="J604" t="s">
        <v>10</v>
      </c>
    </row>
    <row r="605" spans="1:10" x14ac:dyDescent="0.35">
      <c r="A605">
        <v>604</v>
      </c>
      <c r="B605">
        <v>61</v>
      </c>
      <c r="C605" t="s">
        <v>5</v>
      </c>
      <c r="D605" s="1">
        <v>45000</v>
      </c>
      <c r="E605" t="s">
        <v>1</v>
      </c>
      <c r="F605" t="s">
        <v>9</v>
      </c>
      <c r="G605" t="s">
        <v>3</v>
      </c>
      <c r="H605">
        <v>4</v>
      </c>
      <c r="I605">
        <v>412.28</v>
      </c>
      <c r="J605" t="s">
        <v>4</v>
      </c>
    </row>
    <row r="606" spans="1:10" x14ac:dyDescent="0.35">
      <c r="A606">
        <v>605</v>
      </c>
      <c r="B606">
        <v>32</v>
      </c>
      <c r="C606" t="s">
        <v>0</v>
      </c>
      <c r="D606" s="1">
        <v>45051</v>
      </c>
      <c r="E606" t="s">
        <v>6</v>
      </c>
      <c r="F606" t="s">
        <v>7</v>
      </c>
      <c r="G606" t="s">
        <v>3</v>
      </c>
      <c r="H606">
        <v>3</v>
      </c>
      <c r="I606">
        <v>374.06</v>
      </c>
      <c r="J606" t="s">
        <v>4</v>
      </c>
    </row>
    <row r="607" spans="1:10" x14ac:dyDescent="0.35">
      <c r="A607">
        <v>606</v>
      </c>
      <c r="B607">
        <v>13</v>
      </c>
      <c r="C607" t="s">
        <v>5</v>
      </c>
      <c r="D607" s="1">
        <v>45130</v>
      </c>
      <c r="E607" t="s">
        <v>6</v>
      </c>
      <c r="F607" t="s">
        <v>12</v>
      </c>
      <c r="G607" t="s">
        <v>20</v>
      </c>
      <c r="H607">
        <v>10</v>
      </c>
      <c r="I607">
        <v>481.38</v>
      </c>
      <c r="J607" t="s">
        <v>16</v>
      </c>
    </row>
    <row r="608" spans="1:10" x14ac:dyDescent="0.35">
      <c r="A608">
        <v>607</v>
      </c>
      <c r="B608">
        <v>6</v>
      </c>
      <c r="C608" t="s">
        <v>5</v>
      </c>
      <c r="D608" s="1">
        <v>45089</v>
      </c>
      <c r="E608" t="s">
        <v>19</v>
      </c>
      <c r="F608" t="s">
        <v>7</v>
      </c>
      <c r="G608" t="s">
        <v>3</v>
      </c>
      <c r="H608">
        <v>7</v>
      </c>
      <c r="I608">
        <v>326.49</v>
      </c>
      <c r="J608" t="s">
        <v>8</v>
      </c>
    </row>
    <row r="609" spans="1:10" x14ac:dyDescent="0.35">
      <c r="A609">
        <v>608</v>
      </c>
      <c r="B609">
        <v>28</v>
      </c>
      <c r="C609" t="s">
        <v>5</v>
      </c>
      <c r="D609" s="1">
        <v>45296</v>
      </c>
      <c r="E609" t="s">
        <v>1</v>
      </c>
      <c r="F609" t="s">
        <v>2</v>
      </c>
      <c r="G609" t="s">
        <v>3</v>
      </c>
      <c r="H609">
        <v>10</v>
      </c>
      <c r="I609">
        <v>228.4</v>
      </c>
      <c r="J609" t="s">
        <v>4</v>
      </c>
    </row>
    <row r="610" spans="1:10" x14ac:dyDescent="0.35">
      <c r="A610">
        <v>609</v>
      </c>
      <c r="B610">
        <v>75</v>
      </c>
      <c r="C610" t="s">
        <v>5</v>
      </c>
      <c r="D610" s="1">
        <v>45098</v>
      </c>
      <c r="E610" t="s">
        <v>6</v>
      </c>
      <c r="F610" t="s">
        <v>14</v>
      </c>
      <c r="G610" t="s">
        <v>13</v>
      </c>
      <c r="H610">
        <v>0</v>
      </c>
      <c r="I610">
        <v>485.04</v>
      </c>
      <c r="J610" t="s">
        <v>10</v>
      </c>
    </row>
    <row r="611" spans="1:10" x14ac:dyDescent="0.35">
      <c r="A611">
        <v>610</v>
      </c>
      <c r="B611">
        <v>20</v>
      </c>
      <c r="C611" t="s">
        <v>0</v>
      </c>
      <c r="D611" s="1">
        <v>45631</v>
      </c>
      <c r="E611" t="s">
        <v>11</v>
      </c>
      <c r="F611" t="s">
        <v>9</v>
      </c>
      <c r="G611" t="s">
        <v>3</v>
      </c>
      <c r="H611">
        <v>3</v>
      </c>
      <c r="I611">
        <v>95.7</v>
      </c>
      <c r="J611" t="s">
        <v>4</v>
      </c>
    </row>
    <row r="612" spans="1:10" x14ac:dyDescent="0.35">
      <c r="A612">
        <v>611</v>
      </c>
      <c r="B612">
        <v>44</v>
      </c>
      <c r="C612" t="s">
        <v>5</v>
      </c>
      <c r="D612" s="1">
        <v>45629</v>
      </c>
      <c r="E612" t="s">
        <v>11</v>
      </c>
      <c r="F612" t="s">
        <v>9</v>
      </c>
      <c r="G612" t="s">
        <v>3</v>
      </c>
      <c r="H612">
        <v>5</v>
      </c>
      <c r="I612">
        <v>329.4</v>
      </c>
      <c r="J612" t="s">
        <v>4</v>
      </c>
    </row>
    <row r="613" spans="1:10" x14ac:dyDescent="0.35">
      <c r="A613">
        <v>612</v>
      </c>
      <c r="B613">
        <v>30</v>
      </c>
      <c r="C613" t="s">
        <v>0</v>
      </c>
      <c r="D613" s="1">
        <v>45055</v>
      </c>
      <c r="E613" t="s">
        <v>19</v>
      </c>
      <c r="F613" t="s">
        <v>12</v>
      </c>
      <c r="G613" t="s">
        <v>20</v>
      </c>
      <c r="H613">
        <v>3</v>
      </c>
      <c r="I613">
        <v>30.25</v>
      </c>
      <c r="J613" t="s">
        <v>10</v>
      </c>
    </row>
    <row r="614" spans="1:10" x14ac:dyDescent="0.35">
      <c r="A614">
        <v>613</v>
      </c>
      <c r="B614">
        <v>18</v>
      </c>
      <c r="C614" t="s">
        <v>0</v>
      </c>
      <c r="D614" s="1">
        <v>45293</v>
      </c>
      <c r="E614" t="s">
        <v>11</v>
      </c>
      <c r="F614" t="s">
        <v>7</v>
      </c>
      <c r="G614" t="s">
        <v>3</v>
      </c>
      <c r="H614">
        <v>7</v>
      </c>
      <c r="I614">
        <v>359.18</v>
      </c>
      <c r="J614" t="s">
        <v>16</v>
      </c>
    </row>
    <row r="615" spans="1:10" x14ac:dyDescent="0.35">
      <c r="A615">
        <v>614</v>
      </c>
      <c r="B615">
        <v>63</v>
      </c>
      <c r="C615" t="s">
        <v>5</v>
      </c>
      <c r="D615" s="1">
        <v>45482</v>
      </c>
      <c r="E615" t="s">
        <v>1</v>
      </c>
      <c r="F615" t="s">
        <v>7</v>
      </c>
      <c r="G615" t="s">
        <v>3</v>
      </c>
      <c r="H615">
        <v>8</v>
      </c>
      <c r="I615">
        <v>186.88</v>
      </c>
      <c r="J615" t="s">
        <v>10</v>
      </c>
    </row>
    <row r="616" spans="1:10" x14ac:dyDescent="0.35">
      <c r="A616">
        <v>615</v>
      </c>
      <c r="B616">
        <v>71</v>
      </c>
      <c r="C616" t="s">
        <v>5</v>
      </c>
      <c r="D616" s="1">
        <v>45208</v>
      </c>
      <c r="E616" t="s">
        <v>11</v>
      </c>
      <c r="F616" t="s">
        <v>9</v>
      </c>
      <c r="G616" t="s">
        <v>3</v>
      </c>
      <c r="H616">
        <v>8</v>
      </c>
      <c r="I616">
        <v>94.41</v>
      </c>
      <c r="J616" t="s">
        <v>16</v>
      </c>
    </row>
    <row r="617" spans="1:10" x14ac:dyDescent="0.35">
      <c r="A617">
        <v>616</v>
      </c>
      <c r="B617">
        <v>47</v>
      </c>
      <c r="C617" t="s">
        <v>0</v>
      </c>
      <c r="D617" s="1">
        <v>45196</v>
      </c>
      <c r="E617" t="s">
        <v>11</v>
      </c>
      <c r="F617" t="s">
        <v>9</v>
      </c>
      <c r="G617" t="s">
        <v>3</v>
      </c>
      <c r="H617">
        <v>10</v>
      </c>
      <c r="I617">
        <v>262.86</v>
      </c>
      <c r="J617" t="s">
        <v>8</v>
      </c>
    </row>
    <row r="618" spans="1:10" x14ac:dyDescent="0.35">
      <c r="A618">
        <v>617</v>
      </c>
      <c r="B618">
        <v>47</v>
      </c>
      <c r="C618" t="s">
        <v>5</v>
      </c>
      <c r="D618" s="1">
        <v>44946</v>
      </c>
      <c r="E618" t="s">
        <v>19</v>
      </c>
      <c r="F618" t="s">
        <v>9</v>
      </c>
      <c r="G618" t="s">
        <v>3</v>
      </c>
      <c r="H618">
        <v>1</v>
      </c>
      <c r="I618">
        <v>335.98</v>
      </c>
      <c r="J618" t="s">
        <v>10</v>
      </c>
    </row>
    <row r="619" spans="1:10" x14ac:dyDescent="0.35">
      <c r="A619">
        <v>618</v>
      </c>
      <c r="B619">
        <v>64</v>
      </c>
      <c r="C619" t="s">
        <v>5</v>
      </c>
      <c r="D619" s="1">
        <v>45121</v>
      </c>
      <c r="E619" t="s">
        <v>19</v>
      </c>
      <c r="F619" t="s">
        <v>9</v>
      </c>
      <c r="G619" t="s">
        <v>3</v>
      </c>
      <c r="H619">
        <v>5</v>
      </c>
      <c r="I619">
        <v>216.71</v>
      </c>
      <c r="J619" t="s">
        <v>16</v>
      </c>
    </row>
    <row r="620" spans="1:10" x14ac:dyDescent="0.35">
      <c r="A620">
        <v>619</v>
      </c>
      <c r="B620">
        <v>67</v>
      </c>
      <c r="C620" t="s">
        <v>5</v>
      </c>
      <c r="D620" s="1">
        <v>45040</v>
      </c>
      <c r="E620" t="s">
        <v>11</v>
      </c>
      <c r="F620" t="s">
        <v>2</v>
      </c>
      <c r="G620" t="s">
        <v>3</v>
      </c>
      <c r="H620">
        <v>2</v>
      </c>
      <c r="I620">
        <v>105.75</v>
      </c>
      <c r="J620" t="s">
        <v>4</v>
      </c>
    </row>
    <row r="621" spans="1:10" x14ac:dyDescent="0.35">
      <c r="A621">
        <v>620</v>
      </c>
      <c r="B621">
        <v>63</v>
      </c>
      <c r="C621" t="s">
        <v>5</v>
      </c>
      <c r="D621" s="1">
        <v>45133</v>
      </c>
      <c r="E621" t="s">
        <v>11</v>
      </c>
      <c r="F621" t="s">
        <v>2</v>
      </c>
      <c r="G621" t="s">
        <v>3</v>
      </c>
      <c r="H621">
        <v>0</v>
      </c>
      <c r="I621">
        <v>294.08999999999997</v>
      </c>
      <c r="J621" t="s">
        <v>10</v>
      </c>
    </row>
    <row r="622" spans="1:10" x14ac:dyDescent="0.35">
      <c r="A622">
        <v>621</v>
      </c>
      <c r="B622">
        <v>68</v>
      </c>
      <c r="C622" t="s">
        <v>0</v>
      </c>
      <c r="D622" s="1">
        <v>45600</v>
      </c>
      <c r="E622" t="s">
        <v>11</v>
      </c>
      <c r="F622" t="s">
        <v>12</v>
      </c>
      <c r="G622" t="s">
        <v>18</v>
      </c>
      <c r="H622">
        <v>3</v>
      </c>
      <c r="I622">
        <v>310.86</v>
      </c>
      <c r="J622" t="s">
        <v>4</v>
      </c>
    </row>
    <row r="623" spans="1:10" x14ac:dyDescent="0.35">
      <c r="A623">
        <v>622</v>
      </c>
      <c r="B623">
        <v>84</v>
      </c>
      <c r="C623" t="s">
        <v>0</v>
      </c>
      <c r="D623" s="1">
        <v>44940</v>
      </c>
      <c r="E623" t="s">
        <v>11</v>
      </c>
      <c r="F623" t="s">
        <v>17</v>
      </c>
      <c r="G623" t="s">
        <v>20</v>
      </c>
      <c r="H623">
        <v>10</v>
      </c>
      <c r="I623">
        <v>49.14</v>
      </c>
      <c r="J623" t="s">
        <v>10</v>
      </c>
    </row>
    <row r="624" spans="1:10" x14ac:dyDescent="0.35">
      <c r="A624">
        <v>623</v>
      </c>
      <c r="B624">
        <v>8</v>
      </c>
      <c r="C624" t="s">
        <v>0</v>
      </c>
      <c r="D624" s="1">
        <v>45304</v>
      </c>
      <c r="E624" t="s">
        <v>11</v>
      </c>
      <c r="F624" t="s">
        <v>7</v>
      </c>
      <c r="G624" t="s">
        <v>3</v>
      </c>
      <c r="H624">
        <v>1</v>
      </c>
      <c r="I624">
        <v>420.54</v>
      </c>
      <c r="J624" t="s">
        <v>4</v>
      </c>
    </row>
    <row r="625" spans="1:10" x14ac:dyDescent="0.35">
      <c r="A625">
        <v>624</v>
      </c>
      <c r="B625">
        <v>13</v>
      </c>
      <c r="C625" t="s">
        <v>5</v>
      </c>
      <c r="D625" s="1">
        <v>45148</v>
      </c>
      <c r="E625" t="s">
        <v>1</v>
      </c>
      <c r="F625" t="s">
        <v>9</v>
      </c>
      <c r="G625" t="s">
        <v>3</v>
      </c>
      <c r="H625">
        <v>8</v>
      </c>
      <c r="I625">
        <v>204.96</v>
      </c>
      <c r="J625" t="s">
        <v>8</v>
      </c>
    </row>
    <row r="626" spans="1:10" x14ac:dyDescent="0.35">
      <c r="A626">
        <v>625</v>
      </c>
      <c r="B626">
        <v>32</v>
      </c>
      <c r="C626" t="s">
        <v>5</v>
      </c>
      <c r="D626" s="1">
        <v>45465</v>
      </c>
      <c r="E626" t="s">
        <v>6</v>
      </c>
      <c r="F626" t="s">
        <v>7</v>
      </c>
      <c r="G626" t="s">
        <v>3</v>
      </c>
      <c r="H626">
        <v>1</v>
      </c>
      <c r="I626">
        <v>387.82</v>
      </c>
      <c r="J626" t="s">
        <v>16</v>
      </c>
    </row>
    <row r="627" spans="1:10" x14ac:dyDescent="0.35">
      <c r="A627">
        <v>626</v>
      </c>
      <c r="B627">
        <v>55</v>
      </c>
      <c r="C627" t="s">
        <v>5</v>
      </c>
      <c r="D627" s="1">
        <v>45617</v>
      </c>
      <c r="E627" t="s">
        <v>1</v>
      </c>
      <c r="F627" t="s">
        <v>12</v>
      </c>
      <c r="G627" t="s">
        <v>13</v>
      </c>
      <c r="H627">
        <v>8</v>
      </c>
      <c r="I627">
        <v>212.75</v>
      </c>
      <c r="J627" t="s">
        <v>16</v>
      </c>
    </row>
    <row r="628" spans="1:10" x14ac:dyDescent="0.35">
      <c r="A628">
        <v>627</v>
      </c>
      <c r="B628">
        <v>69</v>
      </c>
      <c r="C628" t="s">
        <v>0</v>
      </c>
      <c r="D628" s="1">
        <v>45600</v>
      </c>
      <c r="E628" t="s">
        <v>19</v>
      </c>
      <c r="F628" t="s">
        <v>17</v>
      </c>
      <c r="G628" t="s">
        <v>18</v>
      </c>
      <c r="H628">
        <v>8</v>
      </c>
      <c r="I628">
        <v>495.9</v>
      </c>
      <c r="J628" t="s">
        <v>16</v>
      </c>
    </row>
    <row r="629" spans="1:10" x14ac:dyDescent="0.35">
      <c r="A629">
        <v>628</v>
      </c>
      <c r="B629">
        <v>82</v>
      </c>
      <c r="C629" t="s">
        <v>0</v>
      </c>
      <c r="D629" s="1">
        <v>45307</v>
      </c>
      <c r="E629" t="s">
        <v>19</v>
      </c>
      <c r="F629" t="s">
        <v>12</v>
      </c>
      <c r="G629" t="s">
        <v>3</v>
      </c>
      <c r="H629">
        <v>3</v>
      </c>
      <c r="I629">
        <v>290.31</v>
      </c>
      <c r="J629" t="s">
        <v>8</v>
      </c>
    </row>
    <row r="630" spans="1:10" x14ac:dyDescent="0.35">
      <c r="A630">
        <v>629</v>
      </c>
      <c r="B630">
        <v>33</v>
      </c>
      <c r="C630" t="s">
        <v>0</v>
      </c>
      <c r="D630" s="1">
        <v>45311</v>
      </c>
      <c r="E630" t="s">
        <v>6</v>
      </c>
      <c r="F630" t="s">
        <v>9</v>
      </c>
      <c r="G630" t="s">
        <v>3</v>
      </c>
      <c r="H630">
        <v>7</v>
      </c>
      <c r="I630">
        <v>480.72</v>
      </c>
      <c r="J630" t="s">
        <v>4</v>
      </c>
    </row>
    <row r="631" spans="1:10" x14ac:dyDescent="0.35">
      <c r="A631">
        <v>630</v>
      </c>
      <c r="B631">
        <v>77</v>
      </c>
      <c r="C631" t="s">
        <v>5</v>
      </c>
      <c r="D631" s="1">
        <v>44962</v>
      </c>
      <c r="E631" t="s">
        <v>1</v>
      </c>
      <c r="F631" t="s">
        <v>14</v>
      </c>
      <c r="G631" t="s">
        <v>18</v>
      </c>
      <c r="H631">
        <v>0</v>
      </c>
      <c r="I631">
        <v>164.16</v>
      </c>
      <c r="J631" t="s">
        <v>8</v>
      </c>
    </row>
    <row r="632" spans="1:10" x14ac:dyDescent="0.35">
      <c r="A632">
        <v>631</v>
      </c>
      <c r="B632">
        <v>3</v>
      </c>
      <c r="C632" t="s">
        <v>0</v>
      </c>
      <c r="D632" s="1">
        <v>45146</v>
      </c>
      <c r="E632" t="s">
        <v>1</v>
      </c>
      <c r="F632" t="s">
        <v>14</v>
      </c>
      <c r="G632" t="s">
        <v>15</v>
      </c>
      <c r="H632">
        <v>0</v>
      </c>
      <c r="I632">
        <v>240.98</v>
      </c>
      <c r="J632" t="s">
        <v>8</v>
      </c>
    </row>
    <row r="633" spans="1:10" x14ac:dyDescent="0.35">
      <c r="A633">
        <v>632</v>
      </c>
      <c r="B633">
        <v>47</v>
      </c>
      <c r="C633" t="s">
        <v>5</v>
      </c>
      <c r="D633" s="1">
        <v>45068</v>
      </c>
      <c r="E633" t="s">
        <v>1</v>
      </c>
      <c r="F633" t="s">
        <v>14</v>
      </c>
      <c r="G633" t="s">
        <v>18</v>
      </c>
      <c r="H633">
        <v>4</v>
      </c>
      <c r="I633">
        <v>64.11</v>
      </c>
      <c r="J633" t="s">
        <v>10</v>
      </c>
    </row>
    <row r="634" spans="1:10" x14ac:dyDescent="0.35">
      <c r="A634">
        <v>633</v>
      </c>
      <c r="B634">
        <v>10</v>
      </c>
      <c r="C634" t="s">
        <v>0</v>
      </c>
      <c r="D634" s="1">
        <v>45509</v>
      </c>
      <c r="E634" t="s">
        <v>6</v>
      </c>
      <c r="F634" t="s">
        <v>17</v>
      </c>
      <c r="G634" t="s">
        <v>13</v>
      </c>
      <c r="H634">
        <v>7</v>
      </c>
      <c r="I634">
        <v>416.34</v>
      </c>
      <c r="J634" t="s">
        <v>4</v>
      </c>
    </row>
    <row r="635" spans="1:10" x14ac:dyDescent="0.35">
      <c r="A635">
        <v>634</v>
      </c>
      <c r="B635">
        <v>39</v>
      </c>
      <c r="C635" t="s">
        <v>5</v>
      </c>
      <c r="D635" s="1">
        <v>45536</v>
      </c>
      <c r="E635" t="s">
        <v>6</v>
      </c>
      <c r="F635" t="s">
        <v>7</v>
      </c>
      <c r="G635" t="s">
        <v>3</v>
      </c>
      <c r="H635">
        <v>1</v>
      </c>
      <c r="I635">
        <v>394.46</v>
      </c>
      <c r="J635" t="s">
        <v>16</v>
      </c>
    </row>
    <row r="636" spans="1:10" x14ac:dyDescent="0.35">
      <c r="A636">
        <v>635</v>
      </c>
      <c r="B636">
        <v>54</v>
      </c>
      <c r="C636" t="s">
        <v>5</v>
      </c>
      <c r="D636" s="1">
        <v>45283</v>
      </c>
      <c r="E636" t="s">
        <v>1</v>
      </c>
      <c r="F636" t="s">
        <v>12</v>
      </c>
      <c r="G636" t="s">
        <v>3</v>
      </c>
      <c r="H636">
        <v>0</v>
      </c>
      <c r="I636">
        <v>324.27</v>
      </c>
      <c r="J636" t="s">
        <v>10</v>
      </c>
    </row>
    <row r="637" spans="1:10" x14ac:dyDescent="0.35">
      <c r="A637">
        <v>636</v>
      </c>
      <c r="B637">
        <v>68</v>
      </c>
      <c r="C637" t="s">
        <v>5</v>
      </c>
      <c r="D637" s="1">
        <v>44982</v>
      </c>
      <c r="E637" t="s">
        <v>19</v>
      </c>
      <c r="F637" t="s">
        <v>14</v>
      </c>
      <c r="G637" t="s">
        <v>3</v>
      </c>
      <c r="H637">
        <v>9</v>
      </c>
      <c r="I637">
        <v>91.8</v>
      </c>
      <c r="J637" t="s">
        <v>8</v>
      </c>
    </row>
    <row r="638" spans="1:10" x14ac:dyDescent="0.35">
      <c r="A638">
        <v>637</v>
      </c>
      <c r="B638">
        <v>51</v>
      </c>
      <c r="C638" t="s">
        <v>0</v>
      </c>
      <c r="D638" s="1">
        <v>45083</v>
      </c>
      <c r="E638" t="s">
        <v>11</v>
      </c>
      <c r="F638" t="s">
        <v>2</v>
      </c>
      <c r="G638" t="s">
        <v>3</v>
      </c>
      <c r="H638">
        <v>3</v>
      </c>
      <c r="I638">
        <v>227.33</v>
      </c>
      <c r="J638" t="s">
        <v>10</v>
      </c>
    </row>
    <row r="639" spans="1:10" x14ac:dyDescent="0.35">
      <c r="A639">
        <v>638</v>
      </c>
      <c r="B639">
        <v>44</v>
      </c>
      <c r="C639" t="s">
        <v>5</v>
      </c>
      <c r="D639" s="1">
        <v>45078</v>
      </c>
      <c r="E639" t="s">
        <v>6</v>
      </c>
      <c r="F639" t="s">
        <v>17</v>
      </c>
      <c r="G639" t="s">
        <v>3</v>
      </c>
      <c r="H639">
        <v>0</v>
      </c>
      <c r="I639">
        <v>283.11</v>
      </c>
      <c r="J639" t="s">
        <v>16</v>
      </c>
    </row>
    <row r="640" spans="1:10" x14ac:dyDescent="0.35">
      <c r="A640">
        <v>639</v>
      </c>
      <c r="B640">
        <v>65</v>
      </c>
      <c r="C640" t="s">
        <v>0</v>
      </c>
      <c r="D640" s="1">
        <v>45014</v>
      </c>
      <c r="E640" t="s">
        <v>1</v>
      </c>
      <c r="F640" t="s">
        <v>12</v>
      </c>
      <c r="G640" t="s">
        <v>13</v>
      </c>
      <c r="H640">
        <v>7</v>
      </c>
      <c r="I640">
        <v>288.45999999999998</v>
      </c>
      <c r="J640" t="s">
        <v>10</v>
      </c>
    </row>
    <row r="641" spans="1:10" x14ac:dyDescent="0.35">
      <c r="A641">
        <v>640</v>
      </c>
      <c r="B641">
        <v>74</v>
      </c>
      <c r="C641" t="s">
        <v>5</v>
      </c>
      <c r="D641" s="1">
        <v>45331</v>
      </c>
      <c r="E641" t="s">
        <v>1</v>
      </c>
      <c r="F641" t="s">
        <v>7</v>
      </c>
      <c r="G641" t="s">
        <v>3</v>
      </c>
      <c r="H641">
        <v>3</v>
      </c>
      <c r="I641">
        <v>54.39</v>
      </c>
      <c r="J641" t="s">
        <v>10</v>
      </c>
    </row>
    <row r="642" spans="1:10" x14ac:dyDescent="0.35">
      <c r="A642">
        <v>641</v>
      </c>
      <c r="B642">
        <v>74</v>
      </c>
      <c r="C642" t="s">
        <v>5</v>
      </c>
      <c r="D642" s="1">
        <v>45258</v>
      </c>
      <c r="E642" t="s">
        <v>11</v>
      </c>
      <c r="F642" t="s">
        <v>7</v>
      </c>
      <c r="G642" t="s">
        <v>3</v>
      </c>
      <c r="H642">
        <v>10</v>
      </c>
      <c r="I642">
        <v>218.52</v>
      </c>
      <c r="J642" t="s">
        <v>16</v>
      </c>
    </row>
    <row r="643" spans="1:10" x14ac:dyDescent="0.35">
      <c r="A643">
        <v>642</v>
      </c>
      <c r="B643">
        <v>42</v>
      </c>
      <c r="C643" t="s">
        <v>0</v>
      </c>
      <c r="D643" s="1">
        <v>45283</v>
      </c>
      <c r="E643" t="s">
        <v>11</v>
      </c>
      <c r="F643" t="s">
        <v>17</v>
      </c>
      <c r="G643" t="s">
        <v>18</v>
      </c>
      <c r="H643">
        <v>2</v>
      </c>
      <c r="I643">
        <v>494.07</v>
      </c>
      <c r="J643" t="s">
        <v>10</v>
      </c>
    </row>
    <row r="644" spans="1:10" x14ac:dyDescent="0.35">
      <c r="A644">
        <v>643</v>
      </c>
      <c r="B644">
        <v>57</v>
      </c>
      <c r="C644" t="s">
        <v>5</v>
      </c>
      <c r="D644" s="1">
        <v>45565</v>
      </c>
      <c r="E644" t="s">
        <v>1</v>
      </c>
      <c r="F644" t="s">
        <v>17</v>
      </c>
      <c r="G644" t="s">
        <v>13</v>
      </c>
      <c r="H644">
        <v>10</v>
      </c>
      <c r="I644">
        <v>199.43</v>
      </c>
      <c r="J644" t="s">
        <v>4</v>
      </c>
    </row>
    <row r="645" spans="1:10" x14ac:dyDescent="0.35">
      <c r="A645">
        <v>644</v>
      </c>
      <c r="B645">
        <v>7</v>
      </c>
      <c r="C645" t="s">
        <v>5</v>
      </c>
      <c r="D645" s="1">
        <v>45042</v>
      </c>
      <c r="E645" t="s">
        <v>1</v>
      </c>
      <c r="F645" t="s">
        <v>7</v>
      </c>
      <c r="G645" t="s">
        <v>3</v>
      </c>
      <c r="H645">
        <v>4</v>
      </c>
      <c r="I645">
        <v>26.59</v>
      </c>
      <c r="J645" t="s">
        <v>4</v>
      </c>
    </row>
    <row r="646" spans="1:10" x14ac:dyDescent="0.35">
      <c r="A646">
        <v>645</v>
      </c>
      <c r="B646">
        <v>61</v>
      </c>
      <c r="C646" t="s">
        <v>5</v>
      </c>
      <c r="D646" s="1">
        <v>45239</v>
      </c>
      <c r="E646" t="s">
        <v>19</v>
      </c>
      <c r="F646" t="s">
        <v>12</v>
      </c>
      <c r="G646" t="s">
        <v>13</v>
      </c>
      <c r="H646">
        <v>8</v>
      </c>
      <c r="I646">
        <v>121.7</v>
      </c>
      <c r="J646" t="s">
        <v>16</v>
      </c>
    </row>
    <row r="647" spans="1:10" x14ac:dyDescent="0.35">
      <c r="A647">
        <v>646</v>
      </c>
      <c r="B647">
        <v>80</v>
      </c>
      <c r="C647" t="s">
        <v>5</v>
      </c>
      <c r="D647" s="1">
        <v>45488</v>
      </c>
      <c r="E647" t="s">
        <v>11</v>
      </c>
      <c r="F647" t="s">
        <v>12</v>
      </c>
      <c r="G647" t="s">
        <v>20</v>
      </c>
      <c r="H647">
        <v>9</v>
      </c>
      <c r="I647">
        <v>454.9</v>
      </c>
      <c r="J647" t="s">
        <v>4</v>
      </c>
    </row>
    <row r="648" spans="1:10" x14ac:dyDescent="0.35">
      <c r="A648">
        <v>647</v>
      </c>
      <c r="B648">
        <v>8</v>
      </c>
      <c r="C648" t="s">
        <v>0</v>
      </c>
      <c r="D648" s="1">
        <v>45188</v>
      </c>
      <c r="E648" t="s">
        <v>1</v>
      </c>
      <c r="F648" t="s">
        <v>17</v>
      </c>
      <c r="G648" t="s">
        <v>3</v>
      </c>
      <c r="H648">
        <v>4</v>
      </c>
      <c r="I648">
        <v>45.48</v>
      </c>
      <c r="J648" t="s">
        <v>4</v>
      </c>
    </row>
    <row r="649" spans="1:10" x14ac:dyDescent="0.35">
      <c r="A649">
        <v>648</v>
      </c>
      <c r="B649">
        <v>85</v>
      </c>
      <c r="C649" t="s">
        <v>0</v>
      </c>
      <c r="D649" s="1">
        <v>44995</v>
      </c>
      <c r="E649" t="s">
        <v>19</v>
      </c>
      <c r="F649" t="s">
        <v>12</v>
      </c>
      <c r="G649" t="s">
        <v>15</v>
      </c>
      <c r="H649">
        <v>0</v>
      </c>
      <c r="I649">
        <v>160.4</v>
      </c>
      <c r="J649" t="s">
        <v>10</v>
      </c>
    </row>
    <row r="650" spans="1:10" x14ac:dyDescent="0.35">
      <c r="A650">
        <v>649</v>
      </c>
      <c r="B650">
        <v>66</v>
      </c>
      <c r="C650" t="s">
        <v>5</v>
      </c>
      <c r="D650" s="1">
        <v>45163</v>
      </c>
      <c r="E650" t="s">
        <v>19</v>
      </c>
      <c r="F650" t="s">
        <v>12</v>
      </c>
      <c r="G650" t="s">
        <v>20</v>
      </c>
      <c r="H650">
        <v>9</v>
      </c>
      <c r="I650">
        <v>275.14999999999998</v>
      </c>
      <c r="J650" t="s">
        <v>8</v>
      </c>
    </row>
    <row r="651" spans="1:10" x14ac:dyDescent="0.35">
      <c r="A651">
        <v>650</v>
      </c>
      <c r="B651">
        <v>59</v>
      </c>
      <c r="C651" t="s">
        <v>5</v>
      </c>
      <c r="D651" s="1">
        <v>45130</v>
      </c>
      <c r="E651" t="s">
        <v>11</v>
      </c>
      <c r="F651" t="s">
        <v>9</v>
      </c>
      <c r="G651" t="s">
        <v>3</v>
      </c>
      <c r="H651">
        <v>3</v>
      </c>
      <c r="I651">
        <v>462.69</v>
      </c>
      <c r="J651" t="s">
        <v>16</v>
      </c>
    </row>
    <row r="652" spans="1:10" x14ac:dyDescent="0.35">
      <c r="A652">
        <v>651</v>
      </c>
      <c r="B652">
        <v>51</v>
      </c>
      <c r="C652" t="s">
        <v>5</v>
      </c>
      <c r="D652" s="1">
        <v>45268</v>
      </c>
      <c r="E652" t="s">
        <v>11</v>
      </c>
      <c r="F652" t="s">
        <v>12</v>
      </c>
      <c r="G652" t="s">
        <v>18</v>
      </c>
      <c r="H652">
        <v>10</v>
      </c>
      <c r="I652">
        <v>188.92</v>
      </c>
      <c r="J652" t="s">
        <v>16</v>
      </c>
    </row>
    <row r="653" spans="1:10" x14ac:dyDescent="0.35">
      <c r="A653">
        <v>652</v>
      </c>
      <c r="B653">
        <v>36</v>
      </c>
      <c r="C653" t="s">
        <v>5</v>
      </c>
      <c r="D653" s="1">
        <v>45168</v>
      </c>
      <c r="E653" t="s">
        <v>19</v>
      </c>
      <c r="F653" t="s">
        <v>9</v>
      </c>
      <c r="G653" t="s">
        <v>3</v>
      </c>
      <c r="H653">
        <v>6</v>
      </c>
      <c r="I653">
        <v>447.39</v>
      </c>
      <c r="J653" t="s">
        <v>4</v>
      </c>
    </row>
    <row r="654" spans="1:10" x14ac:dyDescent="0.35">
      <c r="A654">
        <v>653</v>
      </c>
      <c r="B654">
        <v>29</v>
      </c>
      <c r="C654" t="s">
        <v>5</v>
      </c>
      <c r="D654" s="1">
        <v>45495</v>
      </c>
      <c r="E654" t="s">
        <v>19</v>
      </c>
      <c r="F654" t="s">
        <v>14</v>
      </c>
      <c r="G654" t="s">
        <v>20</v>
      </c>
      <c r="H654">
        <v>10</v>
      </c>
      <c r="I654">
        <v>85.89</v>
      </c>
      <c r="J654" t="s">
        <v>10</v>
      </c>
    </row>
    <row r="655" spans="1:10" x14ac:dyDescent="0.35">
      <c r="A655">
        <v>654</v>
      </c>
      <c r="B655">
        <v>79</v>
      </c>
      <c r="C655" t="s">
        <v>5</v>
      </c>
      <c r="D655" s="1">
        <v>45460</v>
      </c>
      <c r="E655" t="s">
        <v>6</v>
      </c>
      <c r="F655" t="s">
        <v>7</v>
      </c>
      <c r="G655" t="s">
        <v>3</v>
      </c>
      <c r="H655">
        <v>3</v>
      </c>
      <c r="I655">
        <v>294.99</v>
      </c>
      <c r="J655" t="s">
        <v>10</v>
      </c>
    </row>
    <row r="656" spans="1:10" x14ac:dyDescent="0.35">
      <c r="A656">
        <v>655</v>
      </c>
      <c r="B656">
        <v>43</v>
      </c>
      <c r="C656" t="s">
        <v>0</v>
      </c>
      <c r="D656" s="1">
        <v>45246</v>
      </c>
      <c r="E656" t="s">
        <v>1</v>
      </c>
      <c r="F656" t="s">
        <v>9</v>
      </c>
      <c r="G656" t="s">
        <v>3</v>
      </c>
      <c r="H656">
        <v>3</v>
      </c>
      <c r="I656">
        <v>333.19</v>
      </c>
      <c r="J656" t="s">
        <v>8</v>
      </c>
    </row>
    <row r="657" spans="1:10" x14ac:dyDescent="0.35">
      <c r="A657">
        <v>656</v>
      </c>
      <c r="B657">
        <v>68</v>
      </c>
      <c r="C657" t="s">
        <v>5</v>
      </c>
      <c r="D657" s="1">
        <v>45068</v>
      </c>
      <c r="E657" t="s">
        <v>6</v>
      </c>
      <c r="F657" t="s">
        <v>14</v>
      </c>
      <c r="G657" t="s">
        <v>13</v>
      </c>
      <c r="H657">
        <v>10</v>
      </c>
      <c r="I657">
        <v>467.85</v>
      </c>
      <c r="J657" t="s">
        <v>8</v>
      </c>
    </row>
    <row r="658" spans="1:10" x14ac:dyDescent="0.35">
      <c r="A658">
        <v>657</v>
      </c>
      <c r="B658">
        <v>72</v>
      </c>
      <c r="C658" t="s">
        <v>5</v>
      </c>
      <c r="D658" s="1">
        <v>45252</v>
      </c>
      <c r="E658" t="s">
        <v>1</v>
      </c>
      <c r="F658" t="s">
        <v>2</v>
      </c>
      <c r="G658" t="s">
        <v>3</v>
      </c>
      <c r="H658">
        <v>5</v>
      </c>
      <c r="I658">
        <v>422.97</v>
      </c>
      <c r="J658" t="s">
        <v>8</v>
      </c>
    </row>
    <row r="659" spans="1:10" x14ac:dyDescent="0.35">
      <c r="A659">
        <v>658</v>
      </c>
      <c r="B659">
        <v>53</v>
      </c>
      <c r="C659" t="s">
        <v>0</v>
      </c>
      <c r="D659" s="1">
        <v>44957</v>
      </c>
      <c r="E659" t="s">
        <v>19</v>
      </c>
      <c r="F659" t="s">
        <v>14</v>
      </c>
      <c r="G659" t="s">
        <v>20</v>
      </c>
      <c r="H659">
        <v>10</v>
      </c>
      <c r="I659">
        <v>467.96</v>
      </c>
      <c r="J659" t="s">
        <v>16</v>
      </c>
    </row>
    <row r="660" spans="1:10" x14ac:dyDescent="0.35">
      <c r="A660">
        <v>659</v>
      </c>
      <c r="B660">
        <v>14</v>
      </c>
      <c r="C660" t="s">
        <v>5</v>
      </c>
      <c r="D660" s="1">
        <v>45082</v>
      </c>
      <c r="E660" t="s">
        <v>1</v>
      </c>
      <c r="F660" t="s">
        <v>17</v>
      </c>
      <c r="G660" t="s">
        <v>15</v>
      </c>
      <c r="H660">
        <v>9</v>
      </c>
      <c r="I660">
        <v>316.13</v>
      </c>
      <c r="J660" t="s">
        <v>8</v>
      </c>
    </row>
    <row r="661" spans="1:10" x14ac:dyDescent="0.35">
      <c r="A661">
        <v>660</v>
      </c>
      <c r="B661">
        <v>30</v>
      </c>
      <c r="C661" t="s">
        <v>5</v>
      </c>
      <c r="D661" s="1">
        <v>45537</v>
      </c>
      <c r="E661" t="s">
        <v>19</v>
      </c>
      <c r="F661" t="s">
        <v>17</v>
      </c>
      <c r="G661" t="s">
        <v>15</v>
      </c>
      <c r="H661">
        <v>7</v>
      </c>
      <c r="I661">
        <v>84.36</v>
      </c>
      <c r="J661" t="s">
        <v>10</v>
      </c>
    </row>
    <row r="662" spans="1:10" x14ac:dyDescent="0.35">
      <c r="A662">
        <v>661</v>
      </c>
      <c r="B662">
        <v>48</v>
      </c>
      <c r="C662" t="s">
        <v>5</v>
      </c>
      <c r="D662" s="1">
        <v>45656</v>
      </c>
      <c r="E662" t="s">
        <v>6</v>
      </c>
      <c r="F662" t="s">
        <v>7</v>
      </c>
      <c r="G662" t="s">
        <v>3</v>
      </c>
      <c r="H662">
        <v>7</v>
      </c>
      <c r="I662">
        <v>247.45</v>
      </c>
      <c r="J662" t="s">
        <v>8</v>
      </c>
    </row>
    <row r="663" spans="1:10" x14ac:dyDescent="0.35">
      <c r="A663">
        <v>662</v>
      </c>
      <c r="B663">
        <v>5</v>
      </c>
      <c r="C663" t="s">
        <v>0</v>
      </c>
      <c r="D663" s="1">
        <v>45124</v>
      </c>
      <c r="E663" t="s">
        <v>11</v>
      </c>
      <c r="F663" t="s">
        <v>17</v>
      </c>
      <c r="G663" t="s">
        <v>18</v>
      </c>
      <c r="H663">
        <v>6</v>
      </c>
      <c r="I663">
        <v>126.83</v>
      </c>
      <c r="J663" t="s">
        <v>8</v>
      </c>
    </row>
    <row r="664" spans="1:10" x14ac:dyDescent="0.35">
      <c r="A664">
        <v>663</v>
      </c>
      <c r="B664">
        <v>23</v>
      </c>
      <c r="C664" t="s">
        <v>0</v>
      </c>
      <c r="D664" s="1">
        <v>45136</v>
      </c>
      <c r="E664" t="s">
        <v>6</v>
      </c>
      <c r="F664" t="s">
        <v>2</v>
      </c>
      <c r="G664" t="s">
        <v>3</v>
      </c>
      <c r="H664">
        <v>5</v>
      </c>
      <c r="I664">
        <v>436.05</v>
      </c>
      <c r="J664" t="s">
        <v>8</v>
      </c>
    </row>
    <row r="665" spans="1:10" x14ac:dyDescent="0.35">
      <c r="A665">
        <v>664</v>
      </c>
      <c r="B665">
        <v>6</v>
      </c>
      <c r="C665" t="s">
        <v>0</v>
      </c>
      <c r="D665" s="1">
        <v>45364</v>
      </c>
      <c r="E665" t="s">
        <v>19</v>
      </c>
      <c r="F665" t="s">
        <v>12</v>
      </c>
      <c r="G665" t="s">
        <v>20</v>
      </c>
      <c r="H665">
        <v>9</v>
      </c>
      <c r="I665">
        <v>470.79</v>
      </c>
      <c r="J665" t="s">
        <v>4</v>
      </c>
    </row>
    <row r="666" spans="1:10" x14ac:dyDescent="0.35">
      <c r="A666">
        <v>665</v>
      </c>
      <c r="B666">
        <v>58</v>
      </c>
      <c r="C666" t="s">
        <v>0</v>
      </c>
      <c r="D666" s="1">
        <v>45460</v>
      </c>
      <c r="E666" t="s">
        <v>11</v>
      </c>
      <c r="F666" t="s">
        <v>2</v>
      </c>
      <c r="G666" t="s">
        <v>3</v>
      </c>
      <c r="H666">
        <v>3</v>
      </c>
      <c r="I666">
        <v>268.98</v>
      </c>
      <c r="J666" t="s">
        <v>10</v>
      </c>
    </row>
    <row r="667" spans="1:10" x14ac:dyDescent="0.35">
      <c r="A667">
        <v>666</v>
      </c>
      <c r="B667">
        <v>50</v>
      </c>
      <c r="C667" t="s">
        <v>5</v>
      </c>
      <c r="D667" s="1">
        <v>44967</v>
      </c>
      <c r="E667" t="s">
        <v>1</v>
      </c>
      <c r="F667" t="s">
        <v>9</v>
      </c>
      <c r="G667" t="s">
        <v>3</v>
      </c>
      <c r="H667">
        <v>4</v>
      </c>
      <c r="I667">
        <v>230.99</v>
      </c>
      <c r="J667" t="s">
        <v>16</v>
      </c>
    </row>
    <row r="668" spans="1:10" x14ac:dyDescent="0.35">
      <c r="A668">
        <v>667</v>
      </c>
      <c r="B668">
        <v>22</v>
      </c>
      <c r="C668" t="s">
        <v>0</v>
      </c>
      <c r="D668" s="1">
        <v>45219</v>
      </c>
      <c r="E668" t="s">
        <v>19</v>
      </c>
      <c r="F668" t="s">
        <v>12</v>
      </c>
      <c r="G668" t="s">
        <v>3</v>
      </c>
      <c r="H668">
        <v>0</v>
      </c>
      <c r="I668">
        <v>351.18</v>
      </c>
      <c r="J668" t="s">
        <v>8</v>
      </c>
    </row>
    <row r="669" spans="1:10" x14ac:dyDescent="0.35">
      <c r="A669">
        <v>668</v>
      </c>
      <c r="B669">
        <v>58</v>
      </c>
      <c r="C669" t="s">
        <v>5</v>
      </c>
      <c r="D669" s="1">
        <v>45401</v>
      </c>
      <c r="E669" t="s">
        <v>11</v>
      </c>
      <c r="F669" t="s">
        <v>7</v>
      </c>
      <c r="G669" t="s">
        <v>3</v>
      </c>
      <c r="H669">
        <v>2</v>
      </c>
      <c r="I669">
        <v>393.79</v>
      </c>
      <c r="J669" t="s">
        <v>8</v>
      </c>
    </row>
    <row r="670" spans="1:10" x14ac:dyDescent="0.35">
      <c r="A670">
        <v>669</v>
      </c>
      <c r="B670">
        <v>42</v>
      </c>
      <c r="C670" t="s">
        <v>0</v>
      </c>
      <c r="D670" s="1">
        <v>45329</v>
      </c>
      <c r="E670" t="s">
        <v>11</v>
      </c>
      <c r="F670" t="s">
        <v>12</v>
      </c>
      <c r="G670" t="s">
        <v>13</v>
      </c>
      <c r="H670">
        <v>7</v>
      </c>
      <c r="I670">
        <v>303.35000000000002</v>
      </c>
      <c r="J670" t="s">
        <v>8</v>
      </c>
    </row>
    <row r="671" spans="1:10" x14ac:dyDescent="0.35">
      <c r="A671">
        <v>670</v>
      </c>
      <c r="B671">
        <v>33</v>
      </c>
      <c r="C671" t="s">
        <v>0</v>
      </c>
      <c r="D671" s="1">
        <v>45392</v>
      </c>
      <c r="E671" t="s">
        <v>1</v>
      </c>
      <c r="F671" t="s">
        <v>2</v>
      </c>
      <c r="G671" t="s">
        <v>3</v>
      </c>
      <c r="H671">
        <v>1</v>
      </c>
      <c r="I671">
        <v>63.77</v>
      </c>
      <c r="J671" t="s">
        <v>10</v>
      </c>
    </row>
    <row r="672" spans="1:10" x14ac:dyDescent="0.35">
      <c r="A672">
        <v>671</v>
      </c>
      <c r="B672">
        <v>11</v>
      </c>
      <c r="C672" t="s">
        <v>0</v>
      </c>
      <c r="D672" s="1">
        <v>45576</v>
      </c>
      <c r="E672" t="s">
        <v>1</v>
      </c>
      <c r="F672" t="s">
        <v>14</v>
      </c>
      <c r="G672" t="s">
        <v>20</v>
      </c>
      <c r="H672">
        <v>8</v>
      </c>
      <c r="I672">
        <v>202.69</v>
      </c>
      <c r="J672" t="s">
        <v>8</v>
      </c>
    </row>
    <row r="673" spans="1:10" x14ac:dyDescent="0.35">
      <c r="A673">
        <v>672</v>
      </c>
      <c r="B673">
        <v>85</v>
      </c>
      <c r="C673" t="s">
        <v>5</v>
      </c>
      <c r="D673" s="1">
        <v>45270</v>
      </c>
      <c r="E673" t="s">
        <v>1</v>
      </c>
      <c r="F673" t="s">
        <v>9</v>
      </c>
      <c r="G673" t="s">
        <v>3</v>
      </c>
      <c r="H673">
        <v>2</v>
      </c>
      <c r="I673">
        <v>105.86</v>
      </c>
      <c r="J673" t="s">
        <v>4</v>
      </c>
    </row>
    <row r="674" spans="1:10" x14ac:dyDescent="0.35">
      <c r="A674">
        <v>673</v>
      </c>
      <c r="B674">
        <v>40</v>
      </c>
      <c r="C674" t="s">
        <v>0</v>
      </c>
      <c r="D674" s="1">
        <v>45356</v>
      </c>
      <c r="E674" t="s">
        <v>19</v>
      </c>
      <c r="F674" t="s">
        <v>14</v>
      </c>
      <c r="G674" t="s">
        <v>13</v>
      </c>
      <c r="H674">
        <v>1</v>
      </c>
      <c r="I674">
        <v>451.3</v>
      </c>
      <c r="J674" t="s">
        <v>8</v>
      </c>
    </row>
    <row r="675" spans="1:10" x14ac:dyDescent="0.35">
      <c r="A675">
        <v>674</v>
      </c>
      <c r="B675">
        <v>33</v>
      </c>
      <c r="C675" t="s">
        <v>5</v>
      </c>
      <c r="D675" s="1">
        <v>44930</v>
      </c>
      <c r="E675" t="s">
        <v>6</v>
      </c>
      <c r="F675" t="s">
        <v>9</v>
      </c>
      <c r="G675" t="s">
        <v>3</v>
      </c>
      <c r="H675">
        <v>7</v>
      </c>
      <c r="I675">
        <v>430.6</v>
      </c>
      <c r="J675" t="s">
        <v>4</v>
      </c>
    </row>
    <row r="676" spans="1:10" x14ac:dyDescent="0.35">
      <c r="A676">
        <v>675</v>
      </c>
      <c r="B676">
        <v>31</v>
      </c>
      <c r="C676" t="s">
        <v>5</v>
      </c>
      <c r="D676" s="1">
        <v>45549</v>
      </c>
      <c r="E676" t="s">
        <v>6</v>
      </c>
      <c r="F676" t="s">
        <v>12</v>
      </c>
      <c r="G676" t="s">
        <v>20</v>
      </c>
      <c r="H676">
        <v>6</v>
      </c>
      <c r="I676">
        <v>232.1</v>
      </c>
      <c r="J676" t="s">
        <v>4</v>
      </c>
    </row>
    <row r="677" spans="1:10" x14ac:dyDescent="0.35">
      <c r="A677">
        <v>676</v>
      </c>
      <c r="B677">
        <v>36</v>
      </c>
      <c r="C677" t="s">
        <v>5</v>
      </c>
      <c r="D677" s="1">
        <v>45177</v>
      </c>
      <c r="E677" t="s">
        <v>11</v>
      </c>
      <c r="F677" t="s">
        <v>9</v>
      </c>
      <c r="G677" t="s">
        <v>3</v>
      </c>
      <c r="H677">
        <v>2</v>
      </c>
      <c r="I677">
        <v>91.16</v>
      </c>
      <c r="J677" t="s">
        <v>16</v>
      </c>
    </row>
    <row r="678" spans="1:10" x14ac:dyDescent="0.35">
      <c r="A678">
        <v>677</v>
      </c>
      <c r="B678">
        <v>5</v>
      </c>
      <c r="C678" t="s">
        <v>0</v>
      </c>
      <c r="D678" s="1">
        <v>44964</v>
      </c>
      <c r="E678" t="s">
        <v>19</v>
      </c>
      <c r="F678" t="s">
        <v>17</v>
      </c>
      <c r="G678" t="s">
        <v>15</v>
      </c>
      <c r="H678">
        <v>0</v>
      </c>
      <c r="I678">
        <v>72.27</v>
      </c>
      <c r="J678" t="s">
        <v>8</v>
      </c>
    </row>
    <row r="679" spans="1:10" x14ac:dyDescent="0.35">
      <c r="A679">
        <v>678</v>
      </c>
      <c r="B679">
        <v>37</v>
      </c>
      <c r="C679" t="s">
        <v>5</v>
      </c>
      <c r="D679" s="1">
        <v>45092</v>
      </c>
      <c r="E679" t="s">
        <v>6</v>
      </c>
      <c r="F679" t="s">
        <v>7</v>
      </c>
      <c r="G679" t="s">
        <v>3</v>
      </c>
      <c r="H679">
        <v>9</v>
      </c>
      <c r="I679">
        <v>192.89</v>
      </c>
      <c r="J679" t="s">
        <v>4</v>
      </c>
    </row>
    <row r="680" spans="1:10" x14ac:dyDescent="0.35">
      <c r="A680">
        <v>679</v>
      </c>
      <c r="B680">
        <v>42</v>
      </c>
      <c r="C680" t="s">
        <v>0</v>
      </c>
      <c r="D680" s="1">
        <v>45022</v>
      </c>
      <c r="E680" t="s">
        <v>6</v>
      </c>
      <c r="F680" t="s">
        <v>14</v>
      </c>
      <c r="G680" t="s">
        <v>15</v>
      </c>
      <c r="H680">
        <v>6</v>
      </c>
      <c r="I680">
        <v>424.79</v>
      </c>
      <c r="J680" t="s">
        <v>4</v>
      </c>
    </row>
    <row r="681" spans="1:10" x14ac:dyDescent="0.35">
      <c r="A681">
        <v>680</v>
      </c>
      <c r="B681">
        <v>18</v>
      </c>
      <c r="C681" t="s">
        <v>5</v>
      </c>
      <c r="D681" s="1">
        <v>45226</v>
      </c>
      <c r="E681" t="s">
        <v>19</v>
      </c>
      <c r="F681" t="s">
        <v>12</v>
      </c>
      <c r="G681" t="s">
        <v>18</v>
      </c>
      <c r="H681">
        <v>8</v>
      </c>
      <c r="I681">
        <v>218.6</v>
      </c>
      <c r="J681" t="s">
        <v>8</v>
      </c>
    </row>
    <row r="682" spans="1:10" x14ac:dyDescent="0.35">
      <c r="A682">
        <v>681</v>
      </c>
      <c r="B682">
        <v>79</v>
      </c>
      <c r="C682" t="s">
        <v>5</v>
      </c>
      <c r="D682" s="1">
        <v>45639</v>
      </c>
      <c r="E682" t="s">
        <v>11</v>
      </c>
      <c r="F682" t="s">
        <v>17</v>
      </c>
      <c r="G682" t="s">
        <v>3</v>
      </c>
      <c r="H682">
        <v>10</v>
      </c>
      <c r="I682">
        <v>273.89</v>
      </c>
      <c r="J682" t="s">
        <v>4</v>
      </c>
    </row>
    <row r="683" spans="1:10" x14ac:dyDescent="0.35">
      <c r="A683">
        <v>682</v>
      </c>
      <c r="B683">
        <v>78</v>
      </c>
      <c r="C683" t="s">
        <v>0</v>
      </c>
      <c r="D683" s="1">
        <v>45422</v>
      </c>
      <c r="E683" t="s">
        <v>6</v>
      </c>
      <c r="F683" t="s">
        <v>7</v>
      </c>
      <c r="G683" t="s">
        <v>3</v>
      </c>
      <c r="H683">
        <v>9</v>
      </c>
      <c r="I683">
        <v>426.94</v>
      </c>
      <c r="J683" t="s">
        <v>16</v>
      </c>
    </row>
    <row r="684" spans="1:10" x14ac:dyDescent="0.35">
      <c r="A684">
        <v>683</v>
      </c>
      <c r="B684">
        <v>80</v>
      </c>
      <c r="C684" t="s">
        <v>0</v>
      </c>
      <c r="D684" s="1">
        <v>45465</v>
      </c>
      <c r="E684" t="s">
        <v>1</v>
      </c>
      <c r="F684" t="s">
        <v>9</v>
      </c>
      <c r="G684" t="s">
        <v>3</v>
      </c>
      <c r="H684">
        <v>9</v>
      </c>
      <c r="I684">
        <v>290.06</v>
      </c>
      <c r="J684" t="s">
        <v>10</v>
      </c>
    </row>
    <row r="685" spans="1:10" x14ac:dyDescent="0.35">
      <c r="A685">
        <v>684</v>
      </c>
      <c r="B685">
        <v>79</v>
      </c>
      <c r="C685" t="s">
        <v>5</v>
      </c>
      <c r="D685" s="1">
        <v>45431</v>
      </c>
      <c r="E685" t="s">
        <v>19</v>
      </c>
      <c r="F685" t="s">
        <v>17</v>
      </c>
      <c r="G685" t="s">
        <v>13</v>
      </c>
      <c r="H685">
        <v>0</v>
      </c>
      <c r="I685">
        <v>76.739999999999995</v>
      </c>
      <c r="J685" t="s">
        <v>10</v>
      </c>
    </row>
    <row r="686" spans="1:10" x14ac:dyDescent="0.35">
      <c r="A686">
        <v>685</v>
      </c>
      <c r="B686">
        <v>27</v>
      </c>
      <c r="C686" t="s">
        <v>0</v>
      </c>
      <c r="D686" s="1">
        <v>45567</v>
      </c>
      <c r="E686" t="s">
        <v>6</v>
      </c>
      <c r="F686" t="s">
        <v>2</v>
      </c>
      <c r="G686" t="s">
        <v>3</v>
      </c>
      <c r="H686">
        <v>0</v>
      </c>
      <c r="I686">
        <v>180.22</v>
      </c>
      <c r="J686" t="s">
        <v>8</v>
      </c>
    </row>
    <row r="687" spans="1:10" x14ac:dyDescent="0.35">
      <c r="A687">
        <v>686</v>
      </c>
      <c r="B687">
        <v>26</v>
      </c>
      <c r="C687" t="s">
        <v>0</v>
      </c>
      <c r="D687" s="1">
        <v>44938</v>
      </c>
      <c r="E687" t="s">
        <v>19</v>
      </c>
      <c r="F687" t="s">
        <v>7</v>
      </c>
      <c r="G687" t="s">
        <v>3</v>
      </c>
      <c r="H687">
        <v>1</v>
      </c>
      <c r="I687">
        <v>167.73</v>
      </c>
      <c r="J687" t="s">
        <v>16</v>
      </c>
    </row>
    <row r="688" spans="1:10" x14ac:dyDescent="0.35">
      <c r="A688">
        <v>687</v>
      </c>
      <c r="B688">
        <v>43</v>
      </c>
      <c r="C688" t="s">
        <v>0</v>
      </c>
      <c r="D688" s="1">
        <v>44933</v>
      </c>
      <c r="E688" t="s">
        <v>6</v>
      </c>
      <c r="F688" t="s">
        <v>2</v>
      </c>
      <c r="G688" t="s">
        <v>3</v>
      </c>
      <c r="H688">
        <v>9</v>
      </c>
      <c r="I688">
        <v>315.68</v>
      </c>
      <c r="J688" t="s">
        <v>4</v>
      </c>
    </row>
    <row r="689" spans="1:10" x14ac:dyDescent="0.35">
      <c r="A689">
        <v>688</v>
      </c>
      <c r="B689">
        <v>43</v>
      </c>
      <c r="C689" t="s">
        <v>0</v>
      </c>
      <c r="D689" s="1">
        <v>45106</v>
      </c>
      <c r="E689" t="s">
        <v>6</v>
      </c>
      <c r="F689" t="s">
        <v>17</v>
      </c>
      <c r="G689" t="s">
        <v>20</v>
      </c>
      <c r="H689">
        <v>0</v>
      </c>
      <c r="I689">
        <v>329.91</v>
      </c>
      <c r="J689" t="s">
        <v>10</v>
      </c>
    </row>
    <row r="690" spans="1:10" x14ac:dyDescent="0.35">
      <c r="A690">
        <v>689</v>
      </c>
      <c r="B690">
        <v>59</v>
      </c>
      <c r="C690" t="s">
        <v>0</v>
      </c>
      <c r="D690" s="1">
        <v>45086</v>
      </c>
      <c r="E690" t="s">
        <v>6</v>
      </c>
      <c r="F690" t="s">
        <v>7</v>
      </c>
      <c r="G690" t="s">
        <v>3</v>
      </c>
      <c r="H690">
        <v>6</v>
      </c>
      <c r="I690">
        <v>465.34</v>
      </c>
      <c r="J690" t="s">
        <v>4</v>
      </c>
    </row>
    <row r="691" spans="1:10" x14ac:dyDescent="0.35">
      <c r="A691">
        <v>690</v>
      </c>
      <c r="B691">
        <v>73</v>
      </c>
      <c r="C691" t="s">
        <v>0</v>
      </c>
      <c r="D691" s="1">
        <v>45460</v>
      </c>
      <c r="E691" t="s">
        <v>11</v>
      </c>
      <c r="F691" t="s">
        <v>14</v>
      </c>
      <c r="G691" t="s">
        <v>13</v>
      </c>
      <c r="H691">
        <v>9</v>
      </c>
      <c r="I691">
        <v>349.04</v>
      </c>
      <c r="J691" t="s">
        <v>16</v>
      </c>
    </row>
    <row r="692" spans="1:10" x14ac:dyDescent="0.35">
      <c r="A692">
        <v>691</v>
      </c>
      <c r="B692">
        <v>36</v>
      </c>
      <c r="C692" t="s">
        <v>5</v>
      </c>
      <c r="D692" s="1">
        <v>44994</v>
      </c>
      <c r="E692" t="s">
        <v>19</v>
      </c>
      <c r="F692" t="s">
        <v>17</v>
      </c>
      <c r="G692" t="s">
        <v>20</v>
      </c>
      <c r="H692">
        <v>10</v>
      </c>
      <c r="I692">
        <v>276.45</v>
      </c>
      <c r="J692" t="s">
        <v>8</v>
      </c>
    </row>
    <row r="693" spans="1:10" x14ac:dyDescent="0.35">
      <c r="A693">
        <v>692</v>
      </c>
      <c r="B693">
        <v>50</v>
      </c>
      <c r="C693" t="s">
        <v>5</v>
      </c>
      <c r="D693" s="1">
        <v>45511</v>
      </c>
      <c r="E693" t="s">
        <v>11</v>
      </c>
      <c r="F693" t="s">
        <v>9</v>
      </c>
      <c r="G693" t="s">
        <v>3</v>
      </c>
      <c r="H693">
        <v>4</v>
      </c>
      <c r="I693">
        <v>358.53</v>
      </c>
      <c r="J693" t="s">
        <v>16</v>
      </c>
    </row>
    <row r="694" spans="1:10" x14ac:dyDescent="0.35">
      <c r="A694">
        <v>693</v>
      </c>
      <c r="B694">
        <v>35</v>
      </c>
      <c r="C694" t="s">
        <v>0</v>
      </c>
      <c r="D694" s="1">
        <v>45653</v>
      </c>
      <c r="E694" t="s">
        <v>11</v>
      </c>
      <c r="F694" t="s">
        <v>2</v>
      </c>
      <c r="G694" t="s">
        <v>3</v>
      </c>
      <c r="H694">
        <v>7</v>
      </c>
      <c r="I694">
        <v>440.98</v>
      </c>
      <c r="J694" t="s">
        <v>16</v>
      </c>
    </row>
    <row r="695" spans="1:10" x14ac:dyDescent="0.35">
      <c r="A695">
        <v>694</v>
      </c>
      <c r="B695">
        <v>28</v>
      </c>
      <c r="C695" t="s">
        <v>0</v>
      </c>
      <c r="D695" s="1">
        <v>45389</v>
      </c>
      <c r="E695" t="s">
        <v>1</v>
      </c>
      <c r="F695" t="s">
        <v>14</v>
      </c>
      <c r="G695" t="s">
        <v>15</v>
      </c>
      <c r="H695">
        <v>5</v>
      </c>
      <c r="I695">
        <v>396.77</v>
      </c>
      <c r="J695" t="s">
        <v>8</v>
      </c>
    </row>
    <row r="696" spans="1:10" x14ac:dyDescent="0.35">
      <c r="A696">
        <v>695</v>
      </c>
      <c r="B696">
        <v>65</v>
      </c>
      <c r="C696" t="s">
        <v>5</v>
      </c>
      <c r="D696" s="1">
        <v>45021</v>
      </c>
      <c r="E696" t="s">
        <v>6</v>
      </c>
      <c r="F696" t="s">
        <v>12</v>
      </c>
      <c r="G696" t="s">
        <v>3</v>
      </c>
      <c r="H696">
        <v>2</v>
      </c>
      <c r="I696">
        <v>111.3</v>
      </c>
      <c r="J696" t="s">
        <v>10</v>
      </c>
    </row>
    <row r="697" spans="1:10" x14ac:dyDescent="0.35">
      <c r="A697">
        <v>696</v>
      </c>
      <c r="B697">
        <v>42</v>
      </c>
      <c r="C697" t="s">
        <v>5</v>
      </c>
      <c r="D697" s="1">
        <v>45463</v>
      </c>
      <c r="E697" t="s">
        <v>11</v>
      </c>
      <c r="F697" t="s">
        <v>14</v>
      </c>
      <c r="G697" t="s">
        <v>3</v>
      </c>
      <c r="H697">
        <v>10</v>
      </c>
      <c r="I697">
        <v>496.51</v>
      </c>
      <c r="J697" t="s">
        <v>8</v>
      </c>
    </row>
    <row r="698" spans="1:10" x14ac:dyDescent="0.35">
      <c r="A698">
        <v>697</v>
      </c>
      <c r="B698">
        <v>50</v>
      </c>
      <c r="C698" t="s">
        <v>5</v>
      </c>
      <c r="D698" s="1">
        <v>44964</v>
      </c>
      <c r="E698" t="s">
        <v>11</v>
      </c>
      <c r="F698" t="s">
        <v>12</v>
      </c>
      <c r="G698" t="s">
        <v>18</v>
      </c>
      <c r="H698">
        <v>0</v>
      </c>
      <c r="I698">
        <v>349.79</v>
      </c>
      <c r="J698" t="s">
        <v>4</v>
      </c>
    </row>
    <row r="699" spans="1:10" x14ac:dyDescent="0.35">
      <c r="A699">
        <v>698</v>
      </c>
      <c r="B699">
        <v>6</v>
      </c>
      <c r="C699" t="s">
        <v>5</v>
      </c>
      <c r="D699" s="1">
        <v>45268</v>
      </c>
      <c r="E699" t="s">
        <v>19</v>
      </c>
      <c r="F699" t="s">
        <v>12</v>
      </c>
      <c r="G699" t="s">
        <v>15</v>
      </c>
      <c r="H699">
        <v>9</v>
      </c>
      <c r="I699">
        <v>384.08</v>
      </c>
      <c r="J699" t="s">
        <v>8</v>
      </c>
    </row>
    <row r="700" spans="1:10" x14ac:dyDescent="0.35">
      <c r="A700">
        <v>699</v>
      </c>
      <c r="B700">
        <v>25</v>
      </c>
      <c r="C700" t="s">
        <v>0</v>
      </c>
      <c r="D700" s="1">
        <v>45255</v>
      </c>
      <c r="E700" t="s">
        <v>19</v>
      </c>
      <c r="F700" t="s">
        <v>17</v>
      </c>
      <c r="G700" t="s">
        <v>3</v>
      </c>
      <c r="H700">
        <v>5</v>
      </c>
      <c r="I700">
        <v>390.94</v>
      </c>
      <c r="J700" t="s">
        <v>4</v>
      </c>
    </row>
    <row r="701" spans="1:10" x14ac:dyDescent="0.35">
      <c r="A701">
        <v>700</v>
      </c>
      <c r="B701">
        <v>21</v>
      </c>
      <c r="C701" t="s">
        <v>0</v>
      </c>
      <c r="D701" s="1">
        <v>45206</v>
      </c>
      <c r="E701" t="s">
        <v>11</v>
      </c>
      <c r="F701" t="s">
        <v>17</v>
      </c>
      <c r="G701" t="s">
        <v>15</v>
      </c>
      <c r="H701">
        <v>9</v>
      </c>
      <c r="I701">
        <v>288.62</v>
      </c>
      <c r="J701" t="s">
        <v>4</v>
      </c>
    </row>
    <row r="702" spans="1:10" x14ac:dyDescent="0.35">
      <c r="A702">
        <v>701</v>
      </c>
      <c r="B702">
        <v>45</v>
      </c>
      <c r="C702" t="s">
        <v>0</v>
      </c>
      <c r="D702" s="1">
        <v>45138</v>
      </c>
      <c r="E702" t="s">
        <v>19</v>
      </c>
      <c r="F702" t="s">
        <v>9</v>
      </c>
      <c r="G702" t="s">
        <v>3</v>
      </c>
      <c r="H702">
        <v>2</v>
      </c>
      <c r="I702">
        <v>472.77</v>
      </c>
      <c r="J702" t="s">
        <v>16</v>
      </c>
    </row>
    <row r="703" spans="1:10" x14ac:dyDescent="0.35">
      <c r="A703">
        <v>702</v>
      </c>
      <c r="B703">
        <v>22</v>
      </c>
      <c r="C703" t="s">
        <v>5</v>
      </c>
      <c r="D703" s="1">
        <v>45514</v>
      </c>
      <c r="E703" t="s">
        <v>19</v>
      </c>
      <c r="F703" t="s">
        <v>17</v>
      </c>
      <c r="G703" t="s">
        <v>3</v>
      </c>
      <c r="H703">
        <v>5</v>
      </c>
      <c r="I703">
        <v>279.48</v>
      </c>
      <c r="J703" t="s">
        <v>4</v>
      </c>
    </row>
    <row r="704" spans="1:10" x14ac:dyDescent="0.35">
      <c r="A704">
        <v>703</v>
      </c>
      <c r="B704">
        <v>61</v>
      </c>
      <c r="C704" t="s">
        <v>5</v>
      </c>
      <c r="D704" s="1">
        <v>45060</v>
      </c>
      <c r="E704" t="s">
        <v>11</v>
      </c>
      <c r="F704" t="s">
        <v>2</v>
      </c>
      <c r="G704" t="s">
        <v>3</v>
      </c>
      <c r="H704">
        <v>6</v>
      </c>
      <c r="I704">
        <v>45.82</v>
      </c>
      <c r="J704" t="s">
        <v>10</v>
      </c>
    </row>
    <row r="705" spans="1:10" x14ac:dyDescent="0.35">
      <c r="A705">
        <v>704</v>
      </c>
      <c r="B705">
        <v>77</v>
      </c>
      <c r="C705" t="s">
        <v>0</v>
      </c>
      <c r="D705" s="1">
        <v>45328</v>
      </c>
      <c r="E705" t="s">
        <v>19</v>
      </c>
      <c r="F705" t="s">
        <v>17</v>
      </c>
      <c r="G705" t="s">
        <v>18</v>
      </c>
      <c r="H705">
        <v>5</v>
      </c>
      <c r="I705">
        <v>412.37</v>
      </c>
      <c r="J705" t="s">
        <v>4</v>
      </c>
    </row>
    <row r="706" spans="1:10" x14ac:dyDescent="0.35">
      <c r="A706">
        <v>705</v>
      </c>
      <c r="B706">
        <v>17</v>
      </c>
      <c r="C706" t="s">
        <v>5</v>
      </c>
      <c r="D706" s="1">
        <v>45403</v>
      </c>
      <c r="E706" t="s">
        <v>6</v>
      </c>
      <c r="F706" t="s">
        <v>9</v>
      </c>
      <c r="G706" t="s">
        <v>3</v>
      </c>
      <c r="H706">
        <v>1</v>
      </c>
      <c r="I706">
        <v>238.68</v>
      </c>
      <c r="J706" t="s">
        <v>10</v>
      </c>
    </row>
    <row r="707" spans="1:10" x14ac:dyDescent="0.35">
      <c r="A707">
        <v>706</v>
      </c>
      <c r="B707">
        <v>29</v>
      </c>
      <c r="C707" t="s">
        <v>5</v>
      </c>
      <c r="D707" s="1">
        <v>45408</v>
      </c>
      <c r="E707" t="s">
        <v>19</v>
      </c>
      <c r="F707" t="s">
        <v>17</v>
      </c>
      <c r="G707" t="s">
        <v>18</v>
      </c>
      <c r="H707">
        <v>6</v>
      </c>
      <c r="I707">
        <v>108.01</v>
      </c>
      <c r="J707" t="s">
        <v>16</v>
      </c>
    </row>
    <row r="708" spans="1:10" x14ac:dyDescent="0.35">
      <c r="A708">
        <v>707</v>
      </c>
      <c r="B708">
        <v>63</v>
      </c>
      <c r="C708" t="s">
        <v>5</v>
      </c>
      <c r="D708" s="1">
        <v>45259</v>
      </c>
      <c r="E708" t="s">
        <v>11</v>
      </c>
      <c r="F708" t="s">
        <v>12</v>
      </c>
      <c r="G708" t="s">
        <v>20</v>
      </c>
      <c r="H708">
        <v>1</v>
      </c>
      <c r="I708">
        <v>188.69</v>
      </c>
      <c r="J708" t="s">
        <v>10</v>
      </c>
    </row>
    <row r="709" spans="1:10" x14ac:dyDescent="0.35">
      <c r="A709">
        <v>708</v>
      </c>
      <c r="B709">
        <v>45</v>
      </c>
      <c r="C709" t="s">
        <v>5</v>
      </c>
      <c r="D709" s="1">
        <v>45101</v>
      </c>
      <c r="E709" t="s">
        <v>11</v>
      </c>
      <c r="F709" t="s">
        <v>14</v>
      </c>
      <c r="G709" t="s">
        <v>20</v>
      </c>
      <c r="H709">
        <v>1</v>
      </c>
      <c r="I709">
        <v>176.42</v>
      </c>
      <c r="J709" t="s">
        <v>4</v>
      </c>
    </row>
    <row r="710" spans="1:10" x14ac:dyDescent="0.35">
      <c r="A710">
        <v>709</v>
      </c>
      <c r="B710">
        <v>60</v>
      </c>
      <c r="C710" t="s">
        <v>0</v>
      </c>
      <c r="D710" s="1">
        <v>45236</v>
      </c>
      <c r="E710" t="s">
        <v>6</v>
      </c>
      <c r="F710" t="s">
        <v>9</v>
      </c>
      <c r="G710" t="s">
        <v>3</v>
      </c>
      <c r="H710">
        <v>3</v>
      </c>
      <c r="I710">
        <v>318.02</v>
      </c>
      <c r="J710" t="s">
        <v>8</v>
      </c>
    </row>
    <row r="711" spans="1:10" x14ac:dyDescent="0.35">
      <c r="A711">
        <v>710</v>
      </c>
      <c r="B711">
        <v>9</v>
      </c>
      <c r="C711" t="s">
        <v>0</v>
      </c>
      <c r="D711" s="1">
        <v>45420</v>
      </c>
      <c r="E711" t="s">
        <v>1</v>
      </c>
      <c r="F711" t="s">
        <v>12</v>
      </c>
      <c r="G711" t="s">
        <v>3</v>
      </c>
      <c r="H711">
        <v>6</v>
      </c>
      <c r="I711">
        <v>396.47</v>
      </c>
      <c r="J711" t="s">
        <v>10</v>
      </c>
    </row>
    <row r="712" spans="1:10" x14ac:dyDescent="0.35">
      <c r="A712">
        <v>711</v>
      </c>
      <c r="B712">
        <v>70</v>
      </c>
      <c r="C712" t="s">
        <v>5</v>
      </c>
      <c r="D712" s="1">
        <v>45507</v>
      </c>
      <c r="E712" t="s">
        <v>1</v>
      </c>
      <c r="F712" t="s">
        <v>14</v>
      </c>
      <c r="G712" t="s">
        <v>15</v>
      </c>
      <c r="H712">
        <v>9</v>
      </c>
      <c r="I712">
        <v>421.64</v>
      </c>
      <c r="J712" t="s">
        <v>4</v>
      </c>
    </row>
    <row r="713" spans="1:10" x14ac:dyDescent="0.35">
      <c r="A713">
        <v>712</v>
      </c>
      <c r="B713">
        <v>60</v>
      </c>
      <c r="C713" t="s">
        <v>0</v>
      </c>
      <c r="D713" s="1">
        <v>45533</v>
      </c>
      <c r="E713" t="s">
        <v>11</v>
      </c>
      <c r="F713" t="s">
        <v>9</v>
      </c>
      <c r="G713" t="s">
        <v>3</v>
      </c>
      <c r="H713">
        <v>7</v>
      </c>
      <c r="I713">
        <v>104.56</v>
      </c>
      <c r="J713" t="s">
        <v>10</v>
      </c>
    </row>
    <row r="714" spans="1:10" x14ac:dyDescent="0.35">
      <c r="A714">
        <v>713</v>
      </c>
      <c r="B714">
        <v>14</v>
      </c>
      <c r="C714" t="s">
        <v>0</v>
      </c>
      <c r="D714" s="1">
        <v>44998</v>
      </c>
      <c r="E714" t="s">
        <v>19</v>
      </c>
      <c r="F714" t="s">
        <v>9</v>
      </c>
      <c r="G714" t="s">
        <v>3</v>
      </c>
      <c r="H714">
        <v>7</v>
      </c>
      <c r="I714">
        <v>329.59</v>
      </c>
      <c r="J714" t="s">
        <v>4</v>
      </c>
    </row>
    <row r="715" spans="1:10" x14ac:dyDescent="0.35">
      <c r="A715">
        <v>714</v>
      </c>
      <c r="B715">
        <v>18</v>
      </c>
      <c r="C715" t="s">
        <v>5</v>
      </c>
      <c r="D715" s="1">
        <v>45019</v>
      </c>
      <c r="E715" t="s">
        <v>1</v>
      </c>
      <c r="F715" t="s">
        <v>17</v>
      </c>
      <c r="G715" t="s">
        <v>13</v>
      </c>
      <c r="H715">
        <v>7</v>
      </c>
      <c r="I715">
        <v>275</v>
      </c>
      <c r="J715" t="s">
        <v>10</v>
      </c>
    </row>
    <row r="716" spans="1:10" x14ac:dyDescent="0.35">
      <c r="A716">
        <v>715</v>
      </c>
      <c r="B716">
        <v>58</v>
      </c>
      <c r="C716" t="s">
        <v>5</v>
      </c>
      <c r="D716" s="1">
        <v>45557</v>
      </c>
      <c r="E716" t="s">
        <v>1</v>
      </c>
      <c r="F716" t="s">
        <v>9</v>
      </c>
      <c r="G716" t="s">
        <v>3</v>
      </c>
      <c r="H716">
        <v>10</v>
      </c>
      <c r="I716">
        <v>441.16</v>
      </c>
      <c r="J716" t="s">
        <v>16</v>
      </c>
    </row>
    <row r="717" spans="1:10" x14ac:dyDescent="0.35">
      <c r="A717">
        <v>716</v>
      </c>
      <c r="B717">
        <v>39</v>
      </c>
      <c r="C717" t="s">
        <v>0</v>
      </c>
      <c r="D717" s="1">
        <v>45510</v>
      </c>
      <c r="E717" t="s">
        <v>19</v>
      </c>
      <c r="F717" t="s">
        <v>7</v>
      </c>
      <c r="G717" t="s">
        <v>3</v>
      </c>
      <c r="H717">
        <v>1</v>
      </c>
      <c r="I717">
        <v>299.70999999999998</v>
      </c>
      <c r="J717" t="s">
        <v>10</v>
      </c>
    </row>
    <row r="718" spans="1:10" x14ac:dyDescent="0.35">
      <c r="A718">
        <v>717</v>
      </c>
      <c r="B718">
        <v>8</v>
      </c>
      <c r="C718" t="s">
        <v>0</v>
      </c>
      <c r="D718" s="1">
        <v>45057</v>
      </c>
      <c r="E718" t="s">
        <v>11</v>
      </c>
      <c r="F718" t="s">
        <v>14</v>
      </c>
      <c r="G718" t="s">
        <v>15</v>
      </c>
      <c r="H718">
        <v>8</v>
      </c>
      <c r="I718">
        <v>413.96</v>
      </c>
      <c r="J718" t="s">
        <v>16</v>
      </c>
    </row>
    <row r="719" spans="1:10" x14ac:dyDescent="0.35">
      <c r="A719">
        <v>718</v>
      </c>
      <c r="B719">
        <v>4</v>
      </c>
      <c r="C719" t="s">
        <v>5</v>
      </c>
      <c r="D719" s="1">
        <v>45039</v>
      </c>
      <c r="E719" t="s">
        <v>6</v>
      </c>
      <c r="F719" t="s">
        <v>14</v>
      </c>
      <c r="G719" t="s">
        <v>3</v>
      </c>
      <c r="H719">
        <v>6</v>
      </c>
      <c r="I719">
        <v>320.10000000000002</v>
      </c>
      <c r="J719" t="s">
        <v>10</v>
      </c>
    </row>
    <row r="720" spans="1:10" x14ac:dyDescent="0.35">
      <c r="A720">
        <v>719</v>
      </c>
      <c r="B720">
        <v>56</v>
      </c>
      <c r="C720" t="s">
        <v>5</v>
      </c>
      <c r="D720" s="1">
        <v>45342</v>
      </c>
      <c r="E720" t="s">
        <v>1</v>
      </c>
      <c r="F720" t="s">
        <v>12</v>
      </c>
      <c r="G720" t="s">
        <v>20</v>
      </c>
      <c r="H720">
        <v>2</v>
      </c>
      <c r="I720">
        <v>110.35</v>
      </c>
      <c r="J720" t="s">
        <v>10</v>
      </c>
    </row>
    <row r="721" spans="1:10" x14ac:dyDescent="0.35">
      <c r="A721">
        <v>720</v>
      </c>
      <c r="B721">
        <v>20</v>
      </c>
      <c r="C721" t="s">
        <v>0</v>
      </c>
      <c r="D721" s="1">
        <v>45295</v>
      </c>
      <c r="E721" t="s">
        <v>1</v>
      </c>
      <c r="F721" t="s">
        <v>12</v>
      </c>
      <c r="G721" t="s">
        <v>13</v>
      </c>
      <c r="H721">
        <v>0</v>
      </c>
      <c r="I721">
        <v>54.44</v>
      </c>
      <c r="J721" t="s">
        <v>4</v>
      </c>
    </row>
    <row r="722" spans="1:10" x14ac:dyDescent="0.35">
      <c r="A722">
        <v>721</v>
      </c>
      <c r="B722">
        <v>63</v>
      </c>
      <c r="C722" t="s">
        <v>0</v>
      </c>
      <c r="D722" s="1">
        <v>45074</v>
      </c>
      <c r="E722" t="s">
        <v>1</v>
      </c>
      <c r="F722" t="s">
        <v>7</v>
      </c>
      <c r="G722" t="s">
        <v>3</v>
      </c>
      <c r="H722">
        <v>1</v>
      </c>
      <c r="I722">
        <v>85.87</v>
      </c>
      <c r="J722" t="s">
        <v>10</v>
      </c>
    </row>
    <row r="723" spans="1:10" x14ac:dyDescent="0.35">
      <c r="A723">
        <v>722</v>
      </c>
      <c r="B723">
        <v>78</v>
      </c>
      <c r="C723" t="s">
        <v>0</v>
      </c>
      <c r="D723" s="1">
        <v>45393</v>
      </c>
      <c r="E723" t="s">
        <v>1</v>
      </c>
      <c r="F723" t="s">
        <v>7</v>
      </c>
      <c r="G723" t="s">
        <v>3</v>
      </c>
      <c r="H723">
        <v>7</v>
      </c>
      <c r="I723">
        <v>264.52</v>
      </c>
      <c r="J723" t="s">
        <v>10</v>
      </c>
    </row>
    <row r="724" spans="1:10" x14ac:dyDescent="0.35">
      <c r="A724">
        <v>723</v>
      </c>
      <c r="B724">
        <v>29</v>
      </c>
      <c r="C724" t="s">
        <v>5</v>
      </c>
      <c r="D724" s="1">
        <v>45320</v>
      </c>
      <c r="E724" t="s">
        <v>6</v>
      </c>
      <c r="F724" t="s">
        <v>14</v>
      </c>
      <c r="G724" t="s">
        <v>3</v>
      </c>
      <c r="H724">
        <v>0</v>
      </c>
      <c r="I724">
        <v>297.41000000000003</v>
      </c>
      <c r="J724" t="s">
        <v>8</v>
      </c>
    </row>
    <row r="725" spans="1:10" x14ac:dyDescent="0.35">
      <c r="A725">
        <v>724</v>
      </c>
      <c r="B725">
        <v>35</v>
      </c>
      <c r="C725" t="s">
        <v>0</v>
      </c>
      <c r="D725" s="1">
        <v>45656</v>
      </c>
      <c r="E725" t="s">
        <v>19</v>
      </c>
      <c r="F725" t="s">
        <v>9</v>
      </c>
      <c r="G725" t="s">
        <v>3</v>
      </c>
      <c r="H725">
        <v>0</v>
      </c>
      <c r="I725">
        <v>489.55</v>
      </c>
      <c r="J725" t="s">
        <v>10</v>
      </c>
    </row>
    <row r="726" spans="1:10" x14ac:dyDescent="0.35">
      <c r="A726">
        <v>725</v>
      </c>
      <c r="B726">
        <v>15</v>
      </c>
      <c r="C726" t="s">
        <v>0</v>
      </c>
      <c r="D726" s="1">
        <v>45648</v>
      </c>
      <c r="E726" t="s">
        <v>11</v>
      </c>
      <c r="F726" t="s">
        <v>14</v>
      </c>
      <c r="G726" t="s">
        <v>13</v>
      </c>
      <c r="H726">
        <v>8</v>
      </c>
      <c r="I726">
        <v>492.12</v>
      </c>
      <c r="J726" t="s">
        <v>16</v>
      </c>
    </row>
    <row r="727" spans="1:10" x14ac:dyDescent="0.35">
      <c r="A727">
        <v>726</v>
      </c>
      <c r="B727">
        <v>11</v>
      </c>
      <c r="C727" t="s">
        <v>5</v>
      </c>
      <c r="D727" s="1">
        <v>45403</v>
      </c>
      <c r="E727" t="s">
        <v>1</v>
      </c>
      <c r="F727" t="s">
        <v>9</v>
      </c>
      <c r="G727" t="s">
        <v>3</v>
      </c>
      <c r="H727">
        <v>7</v>
      </c>
      <c r="I727">
        <v>322.72000000000003</v>
      </c>
      <c r="J727" t="s">
        <v>4</v>
      </c>
    </row>
    <row r="728" spans="1:10" x14ac:dyDescent="0.35">
      <c r="A728">
        <v>727</v>
      </c>
      <c r="B728">
        <v>70</v>
      </c>
      <c r="C728" t="s">
        <v>0</v>
      </c>
      <c r="D728" s="1">
        <v>45627</v>
      </c>
      <c r="E728" t="s">
        <v>11</v>
      </c>
      <c r="F728" t="s">
        <v>7</v>
      </c>
      <c r="G728" t="s">
        <v>3</v>
      </c>
      <c r="H728">
        <v>5</v>
      </c>
      <c r="I728">
        <v>276.82</v>
      </c>
      <c r="J728" t="s">
        <v>4</v>
      </c>
    </row>
    <row r="729" spans="1:10" x14ac:dyDescent="0.35">
      <c r="A729">
        <v>728</v>
      </c>
      <c r="B729">
        <v>66</v>
      </c>
      <c r="C729" t="s">
        <v>0</v>
      </c>
      <c r="D729" s="1">
        <v>45407</v>
      </c>
      <c r="E729" t="s">
        <v>19</v>
      </c>
      <c r="F729" t="s">
        <v>12</v>
      </c>
      <c r="G729" t="s">
        <v>20</v>
      </c>
      <c r="H729">
        <v>5</v>
      </c>
      <c r="I729">
        <v>481.08</v>
      </c>
      <c r="J729" t="s">
        <v>16</v>
      </c>
    </row>
    <row r="730" spans="1:10" x14ac:dyDescent="0.35">
      <c r="A730">
        <v>729</v>
      </c>
      <c r="B730">
        <v>5</v>
      </c>
      <c r="C730" t="s">
        <v>0</v>
      </c>
      <c r="D730" s="1">
        <v>45223</v>
      </c>
      <c r="E730" t="s">
        <v>19</v>
      </c>
      <c r="F730" t="s">
        <v>17</v>
      </c>
      <c r="G730" t="s">
        <v>15</v>
      </c>
      <c r="H730">
        <v>10</v>
      </c>
      <c r="I730">
        <v>247.12</v>
      </c>
      <c r="J730" t="s">
        <v>8</v>
      </c>
    </row>
    <row r="731" spans="1:10" x14ac:dyDescent="0.35">
      <c r="A731">
        <v>730</v>
      </c>
      <c r="B731">
        <v>85</v>
      </c>
      <c r="C731" t="s">
        <v>0</v>
      </c>
      <c r="D731" s="1">
        <v>45513</v>
      </c>
      <c r="E731" t="s">
        <v>11</v>
      </c>
      <c r="F731" t="s">
        <v>2</v>
      </c>
      <c r="G731" t="s">
        <v>3</v>
      </c>
      <c r="H731">
        <v>4</v>
      </c>
      <c r="I731">
        <v>252.68</v>
      </c>
      <c r="J731" t="s">
        <v>8</v>
      </c>
    </row>
    <row r="732" spans="1:10" x14ac:dyDescent="0.35">
      <c r="A732">
        <v>731</v>
      </c>
      <c r="B732">
        <v>36</v>
      </c>
      <c r="C732" t="s">
        <v>0</v>
      </c>
      <c r="D732" s="1">
        <v>45444</v>
      </c>
      <c r="E732" t="s">
        <v>1</v>
      </c>
      <c r="F732" t="s">
        <v>2</v>
      </c>
      <c r="G732" t="s">
        <v>3</v>
      </c>
      <c r="H732">
        <v>9</v>
      </c>
      <c r="I732">
        <v>154.87</v>
      </c>
      <c r="J732" t="s">
        <v>16</v>
      </c>
    </row>
    <row r="733" spans="1:10" x14ac:dyDescent="0.35">
      <c r="A733">
        <v>732</v>
      </c>
      <c r="B733">
        <v>15</v>
      </c>
      <c r="C733" t="s">
        <v>5</v>
      </c>
      <c r="D733" s="1">
        <v>44941</v>
      </c>
      <c r="E733" t="s">
        <v>1</v>
      </c>
      <c r="F733" t="s">
        <v>7</v>
      </c>
      <c r="G733" t="s">
        <v>3</v>
      </c>
      <c r="H733">
        <v>10</v>
      </c>
      <c r="I733">
        <v>234.39</v>
      </c>
      <c r="J733" t="s">
        <v>8</v>
      </c>
    </row>
    <row r="734" spans="1:10" x14ac:dyDescent="0.35">
      <c r="A734">
        <v>733</v>
      </c>
      <c r="B734">
        <v>31</v>
      </c>
      <c r="C734" t="s">
        <v>0</v>
      </c>
      <c r="D734" s="1">
        <v>45194</v>
      </c>
      <c r="E734" t="s">
        <v>1</v>
      </c>
      <c r="F734" t="s">
        <v>7</v>
      </c>
      <c r="G734" t="s">
        <v>3</v>
      </c>
      <c r="H734">
        <v>8</v>
      </c>
      <c r="I734">
        <v>433.77</v>
      </c>
      <c r="J734" t="s">
        <v>16</v>
      </c>
    </row>
    <row r="735" spans="1:10" x14ac:dyDescent="0.35">
      <c r="A735">
        <v>734</v>
      </c>
      <c r="B735">
        <v>77</v>
      </c>
      <c r="C735" t="s">
        <v>5</v>
      </c>
      <c r="D735" s="1">
        <v>45013</v>
      </c>
      <c r="E735" t="s">
        <v>6</v>
      </c>
      <c r="F735" t="s">
        <v>17</v>
      </c>
      <c r="G735" t="s">
        <v>20</v>
      </c>
      <c r="H735">
        <v>6</v>
      </c>
      <c r="I735">
        <v>134.21</v>
      </c>
      <c r="J735" t="s">
        <v>10</v>
      </c>
    </row>
    <row r="736" spans="1:10" x14ac:dyDescent="0.35">
      <c r="A736">
        <v>735</v>
      </c>
      <c r="B736">
        <v>27</v>
      </c>
      <c r="C736" t="s">
        <v>0</v>
      </c>
      <c r="D736" s="1">
        <v>45579</v>
      </c>
      <c r="E736" t="s">
        <v>11</v>
      </c>
      <c r="F736" t="s">
        <v>17</v>
      </c>
      <c r="G736" t="s">
        <v>18</v>
      </c>
      <c r="H736">
        <v>1</v>
      </c>
      <c r="I736">
        <v>45.21</v>
      </c>
      <c r="J736" t="s">
        <v>10</v>
      </c>
    </row>
    <row r="737" spans="1:10" x14ac:dyDescent="0.35">
      <c r="A737">
        <v>736</v>
      </c>
      <c r="B737">
        <v>39</v>
      </c>
      <c r="C737" t="s">
        <v>0</v>
      </c>
      <c r="D737" s="1">
        <v>45335</v>
      </c>
      <c r="E737" t="s">
        <v>1</v>
      </c>
      <c r="F737" t="s">
        <v>12</v>
      </c>
      <c r="G737" t="s">
        <v>20</v>
      </c>
      <c r="H737">
        <v>10</v>
      </c>
      <c r="I737">
        <v>358.69</v>
      </c>
      <c r="J737" t="s">
        <v>10</v>
      </c>
    </row>
    <row r="738" spans="1:10" x14ac:dyDescent="0.35">
      <c r="A738">
        <v>737</v>
      </c>
      <c r="B738">
        <v>68</v>
      </c>
      <c r="C738" t="s">
        <v>0</v>
      </c>
      <c r="D738" s="1">
        <v>45195</v>
      </c>
      <c r="E738" t="s">
        <v>11</v>
      </c>
      <c r="F738" t="s">
        <v>17</v>
      </c>
      <c r="G738" t="s">
        <v>18</v>
      </c>
      <c r="H738">
        <v>7</v>
      </c>
      <c r="I738">
        <v>203.36</v>
      </c>
      <c r="J738" t="s">
        <v>16</v>
      </c>
    </row>
    <row r="739" spans="1:10" x14ac:dyDescent="0.35">
      <c r="A739">
        <v>738</v>
      </c>
      <c r="B739">
        <v>6</v>
      </c>
      <c r="C739" t="s">
        <v>5</v>
      </c>
      <c r="D739" s="1">
        <v>45469</v>
      </c>
      <c r="E739" t="s">
        <v>19</v>
      </c>
      <c r="F739" t="s">
        <v>7</v>
      </c>
      <c r="G739" t="s">
        <v>3</v>
      </c>
      <c r="H739">
        <v>6</v>
      </c>
      <c r="I739">
        <v>313.02999999999997</v>
      </c>
      <c r="J739" t="s">
        <v>16</v>
      </c>
    </row>
    <row r="740" spans="1:10" x14ac:dyDescent="0.35">
      <c r="A740">
        <v>739</v>
      </c>
      <c r="B740">
        <v>35</v>
      </c>
      <c r="C740" t="s">
        <v>5</v>
      </c>
      <c r="D740" s="1">
        <v>45270</v>
      </c>
      <c r="E740" t="s">
        <v>19</v>
      </c>
      <c r="F740" t="s">
        <v>14</v>
      </c>
      <c r="G740" t="s">
        <v>3</v>
      </c>
      <c r="H740">
        <v>6</v>
      </c>
      <c r="I740">
        <v>241.33</v>
      </c>
      <c r="J740" t="s">
        <v>8</v>
      </c>
    </row>
    <row r="741" spans="1:10" x14ac:dyDescent="0.35">
      <c r="A741">
        <v>740</v>
      </c>
      <c r="B741">
        <v>25</v>
      </c>
      <c r="C741" t="s">
        <v>0</v>
      </c>
      <c r="D741" s="1">
        <v>45615</v>
      </c>
      <c r="E741" t="s">
        <v>1</v>
      </c>
      <c r="F741" t="s">
        <v>9</v>
      </c>
      <c r="G741" t="s">
        <v>3</v>
      </c>
      <c r="H741">
        <v>5</v>
      </c>
      <c r="I741">
        <v>282.85000000000002</v>
      </c>
      <c r="J741" t="s">
        <v>4</v>
      </c>
    </row>
    <row r="742" spans="1:10" x14ac:dyDescent="0.35">
      <c r="A742">
        <v>741</v>
      </c>
      <c r="B742">
        <v>53</v>
      </c>
      <c r="C742" t="s">
        <v>5</v>
      </c>
      <c r="D742" s="1">
        <v>44996</v>
      </c>
      <c r="E742" t="s">
        <v>11</v>
      </c>
      <c r="F742" t="s">
        <v>2</v>
      </c>
      <c r="G742" t="s">
        <v>3</v>
      </c>
      <c r="H742">
        <v>10</v>
      </c>
      <c r="I742">
        <v>234.05</v>
      </c>
      <c r="J742" t="s">
        <v>8</v>
      </c>
    </row>
    <row r="743" spans="1:10" x14ac:dyDescent="0.35">
      <c r="A743">
        <v>742</v>
      </c>
      <c r="B743">
        <v>25</v>
      </c>
      <c r="C743" t="s">
        <v>5</v>
      </c>
      <c r="D743" s="1">
        <v>45217</v>
      </c>
      <c r="E743" t="s">
        <v>11</v>
      </c>
      <c r="F743" t="s">
        <v>14</v>
      </c>
      <c r="G743" t="s">
        <v>3</v>
      </c>
      <c r="H743">
        <v>1</v>
      </c>
      <c r="I743">
        <v>47.3</v>
      </c>
      <c r="J743" t="s">
        <v>8</v>
      </c>
    </row>
    <row r="744" spans="1:10" x14ac:dyDescent="0.35">
      <c r="A744">
        <v>743</v>
      </c>
      <c r="B744">
        <v>16</v>
      </c>
      <c r="C744" t="s">
        <v>5</v>
      </c>
      <c r="D744" s="1">
        <v>45540</v>
      </c>
      <c r="E744" t="s">
        <v>11</v>
      </c>
      <c r="F744" t="s">
        <v>7</v>
      </c>
      <c r="G744" t="s">
        <v>3</v>
      </c>
      <c r="H744">
        <v>9</v>
      </c>
      <c r="I744">
        <v>82.36</v>
      </c>
      <c r="J744" t="s">
        <v>8</v>
      </c>
    </row>
    <row r="745" spans="1:10" x14ac:dyDescent="0.35">
      <c r="A745">
        <v>744</v>
      </c>
      <c r="B745">
        <v>24</v>
      </c>
      <c r="C745" t="s">
        <v>0</v>
      </c>
      <c r="D745" s="1">
        <v>45040</v>
      </c>
      <c r="E745" t="s">
        <v>19</v>
      </c>
      <c r="F745" t="s">
        <v>7</v>
      </c>
      <c r="G745" t="s">
        <v>3</v>
      </c>
      <c r="H745">
        <v>7</v>
      </c>
      <c r="I745">
        <v>337.03</v>
      </c>
      <c r="J745" t="s">
        <v>4</v>
      </c>
    </row>
    <row r="746" spans="1:10" x14ac:dyDescent="0.35">
      <c r="A746">
        <v>745</v>
      </c>
      <c r="B746">
        <v>36</v>
      </c>
      <c r="C746" t="s">
        <v>0</v>
      </c>
      <c r="D746" s="1">
        <v>45581</v>
      </c>
      <c r="E746" t="s">
        <v>19</v>
      </c>
      <c r="F746" t="s">
        <v>12</v>
      </c>
      <c r="G746" t="s">
        <v>18</v>
      </c>
      <c r="H746">
        <v>2</v>
      </c>
      <c r="I746">
        <v>394.75</v>
      </c>
      <c r="J746" t="s">
        <v>16</v>
      </c>
    </row>
    <row r="747" spans="1:10" x14ac:dyDescent="0.35">
      <c r="A747">
        <v>746</v>
      </c>
      <c r="B747">
        <v>50</v>
      </c>
      <c r="C747" t="s">
        <v>0</v>
      </c>
      <c r="D747" s="1">
        <v>44990</v>
      </c>
      <c r="E747" t="s">
        <v>11</v>
      </c>
      <c r="F747" t="s">
        <v>12</v>
      </c>
      <c r="G747" t="s">
        <v>18</v>
      </c>
      <c r="H747">
        <v>4</v>
      </c>
      <c r="I747">
        <v>105.41</v>
      </c>
      <c r="J747" t="s">
        <v>4</v>
      </c>
    </row>
    <row r="748" spans="1:10" x14ac:dyDescent="0.35">
      <c r="A748">
        <v>747</v>
      </c>
      <c r="B748">
        <v>79</v>
      </c>
      <c r="C748" t="s">
        <v>0</v>
      </c>
      <c r="D748" s="1">
        <v>45430</v>
      </c>
      <c r="E748" t="s">
        <v>1</v>
      </c>
      <c r="F748" t="s">
        <v>17</v>
      </c>
      <c r="G748" t="s">
        <v>20</v>
      </c>
      <c r="H748">
        <v>1</v>
      </c>
      <c r="I748">
        <v>89.06</v>
      </c>
      <c r="J748" t="s">
        <v>10</v>
      </c>
    </row>
    <row r="749" spans="1:10" x14ac:dyDescent="0.35">
      <c r="A749">
        <v>748</v>
      </c>
      <c r="B749">
        <v>83</v>
      </c>
      <c r="C749" t="s">
        <v>5</v>
      </c>
      <c r="D749" s="1">
        <v>45150</v>
      </c>
      <c r="E749" t="s">
        <v>6</v>
      </c>
      <c r="F749" t="s">
        <v>9</v>
      </c>
      <c r="G749" t="s">
        <v>3</v>
      </c>
      <c r="H749">
        <v>4</v>
      </c>
      <c r="I749">
        <v>69.58</v>
      </c>
      <c r="J749" t="s">
        <v>4</v>
      </c>
    </row>
    <row r="750" spans="1:10" x14ac:dyDescent="0.35">
      <c r="A750">
        <v>749</v>
      </c>
      <c r="B750">
        <v>33</v>
      </c>
      <c r="C750" t="s">
        <v>0</v>
      </c>
      <c r="D750" s="1">
        <v>44999</v>
      </c>
      <c r="E750" t="s">
        <v>11</v>
      </c>
      <c r="F750" t="s">
        <v>9</v>
      </c>
      <c r="G750" t="s">
        <v>3</v>
      </c>
      <c r="H750">
        <v>7</v>
      </c>
      <c r="I750">
        <v>91.45</v>
      </c>
      <c r="J750" t="s">
        <v>4</v>
      </c>
    </row>
    <row r="751" spans="1:10" x14ac:dyDescent="0.35">
      <c r="A751">
        <v>750</v>
      </c>
      <c r="B751">
        <v>50</v>
      </c>
      <c r="C751" t="s">
        <v>0</v>
      </c>
      <c r="D751" s="1">
        <v>44965</v>
      </c>
      <c r="E751" t="s">
        <v>1</v>
      </c>
      <c r="F751" t="s">
        <v>7</v>
      </c>
      <c r="G751" t="s">
        <v>3</v>
      </c>
      <c r="H751">
        <v>5</v>
      </c>
      <c r="I751">
        <v>454.22</v>
      </c>
      <c r="J751" t="s">
        <v>4</v>
      </c>
    </row>
    <row r="752" spans="1:10" x14ac:dyDescent="0.35">
      <c r="A752">
        <v>751</v>
      </c>
      <c r="B752">
        <v>63</v>
      </c>
      <c r="C752" t="s">
        <v>0</v>
      </c>
      <c r="D752" s="1">
        <v>45454</v>
      </c>
      <c r="E752" t="s">
        <v>6</v>
      </c>
      <c r="F752" t="s">
        <v>7</v>
      </c>
      <c r="G752" t="s">
        <v>3</v>
      </c>
      <c r="H752">
        <v>6</v>
      </c>
      <c r="I752">
        <v>425.14</v>
      </c>
      <c r="J752" t="s">
        <v>4</v>
      </c>
    </row>
    <row r="753" spans="1:10" x14ac:dyDescent="0.35">
      <c r="A753">
        <v>752</v>
      </c>
      <c r="B753">
        <v>1</v>
      </c>
      <c r="C753" t="s">
        <v>0</v>
      </c>
      <c r="D753" s="1">
        <v>45480</v>
      </c>
      <c r="E753" t="s">
        <v>6</v>
      </c>
      <c r="F753" t="s">
        <v>17</v>
      </c>
      <c r="G753" t="s">
        <v>15</v>
      </c>
      <c r="H753">
        <v>9</v>
      </c>
      <c r="I753">
        <v>276.95</v>
      </c>
      <c r="J753" t="s">
        <v>16</v>
      </c>
    </row>
    <row r="754" spans="1:10" x14ac:dyDescent="0.35">
      <c r="A754">
        <v>753</v>
      </c>
      <c r="B754">
        <v>39</v>
      </c>
      <c r="C754" t="s">
        <v>0</v>
      </c>
      <c r="D754" s="1">
        <v>45268</v>
      </c>
      <c r="E754" t="s">
        <v>11</v>
      </c>
      <c r="F754" t="s">
        <v>7</v>
      </c>
      <c r="G754" t="s">
        <v>3</v>
      </c>
      <c r="H754">
        <v>10</v>
      </c>
      <c r="I754">
        <v>498.57</v>
      </c>
      <c r="J754" t="s">
        <v>4</v>
      </c>
    </row>
    <row r="755" spans="1:10" x14ac:dyDescent="0.35">
      <c r="A755">
        <v>754</v>
      </c>
      <c r="B755">
        <v>44</v>
      </c>
      <c r="C755" t="s">
        <v>5</v>
      </c>
      <c r="D755" s="1">
        <v>45301</v>
      </c>
      <c r="E755" t="s">
        <v>6</v>
      </c>
      <c r="F755" t="s">
        <v>9</v>
      </c>
      <c r="G755" t="s">
        <v>3</v>
      </c>
      <c r="H755">
        <v>4</v>
      </c>
      <c r="I755">
        <v>330.94</v>
      </c>
      <c r="J755" t="s">
        <v>8</v>
      </c>
    </row>
    <row r="756" spans="1:10" x14ac:dyDescent="0.35">
      <c r="A756">
        <v>755</v>
      </c>
      <c r="B756">
        <v>50</v>
      </c>
      <c r="C756" t="s">
        <v>5</v>
      </c>
      <c r="D756" s="1">
        <v>45494</v>
      </c>
      <c r="E756" t="s">
        <v>19</v>
      </c>
      <c r="F756" t="s">
        <v>2</v>
      </c>
      <c r="G756" t="s">
        <v>3</v>
      </c>
      <c r="H756">
        <v>6</v>
      </c>
      <c r="I756">
        <v>450.3</v>
      </c>
      <c r="J756" t="s">
        <v>16</v>
      </c>
    </row>
    <row r="757" spans="1:10" x14ac:dyDescent="0.35">
      <c r="A757">
        <v>756</v>
      </c>
      <c r="B757">
        <v>81</v>
      </c>
      <c r="C757" t="s">
        <v>0</v>
      </c>
      <c r="D757" s="1">
        <v>45425</v>
      </c>
      <c r="E757" t="s">
        <v>1</v>
      </c>
      <c r="F757" t="s">
        <v>2</v>
      </c>
      <c r="G757" t="s">
        <v>3</v>
      </c>
      <c r="H757">
        <v>2</v>
      </c>
      <c r="I757">
        <v>37.14</v>
      </c>
      <c r="J757" t="s">
        <v>4</v>
      </c>
    </row>
    <row r="758" spans="1:10" x14ac:dyDescent="0.35">
      <c r="A758">
        <v>757</v>
      </c>
      <c r="B758">
        <v>63</v>
      </c>
      <c r="C758" t="s">
        <v>0</v>
      </c>
      <c r="D758" s="1">
        <v>45534</v>
      </c>
      <c r="E758" t="s">
        <v>11</v>
      </c>
      <c r="F758" t="s">
        <v>17</v>
      </c>
      <c r="G758" t="s">
        <v>3</v>
      </c>
      <c r="H758">
        <v>10</v>
      </c>
      <c r="I758">
        <v>167.71</v>
      </c>
      <c r="J758" t="s">
        <v>10</v>
      </c>
    </row>
    <row r="759" spans="1:10" x14ac:dyDescent="0.35">
      <c r="A759">
        <v>758</v>
      </c>
      <c r="B759">
        <v>44</v>
      </c>
      <c r="C759" t="s">
        <v>5</v>
      </c>
      <c r="D759" s="1">
        <v>44943</v>
      </c>
      <c r="E759" t="s">
        <v>19</v>
      </c>
      <c r="F759" t="s">
        <v>2</v>
      </c>
      <c r="G759" t="s">
        <v>3</v>
      </c>
      <c r="H759">
        <v>0</v>
      </c>
      <c r="I759">
        <v>214.64</v>
      </c>
      <c r="J759" t="s">
        <v>8</v>
      </c>
    </row>
    <row r="760" spans="1:10" x14ac:dyDescent="0.35">
      <c r="A760">
        <v>759</v>
      </c>
      <c r="B760">
        <v>67</v>
      </c>
      <c r="C760" t="s">
        <v>0</v>
      </c>
      <c r="D760" s="1">
        <v>45596</v>
      </c>
      <c r="E760" t="s">
        <v>1</v>
      </c>
      <c r="F760" t="s">
        <v>7</v>
      </c>
      <c r="G760" t="s">
        <v>3</v>
      </c>
      <c r="H760">
        <v>9</v>
      </c>
      <c r="I760">
        <v>131.83000000000001</v>
      </c>
      <c r="J760" t="s">
        <v>4</v>
      </c>
    </row>
    <row r="761" spans="1:10" x14ac:dyDescent="0.35">
      <c r="A761">
        <v>760</v>
      </c>
      <c r="B761">
        <v>19</v>
      </c>
      <c r="C761" t="s">
        <v>0</v>
      </c>
      <c r="D761" s="1">
        <v>44964</v>
      </c>
      <c r="E761" t="s">
        <v>11</v>
      </c>
      <c r="F761" t="s">
        <v>7</v>
      </c>
      <c r="G761" t="s">
        <v>3</v>
      </c>
      <c r="H761">
        <v>7</v>
      </c>
      <c r="I761">
        <v>455.45</v>
      </c>
      <c r="J761" t="s">
        <v>4</v>
      </c>
    </row>
    <row r="762" spans="1:10" x14ac:dyDescent="0.35">
      <c r="A762">
        <v>761</v>
      </c>
      <c r="B762">
        <v>84</v>
      </c>
      <c r="C762" t="s">
        <v>5</v>
      </c>
      <c r="D762" s="1">
        <v>45175</v>
      </c>
      <c r="E762" t="s">
        <v>11</v>
      </c>
      <c r="F762" t="s">
        <v>7</v>
      </c>
      <c r="G762" t="s">
        <v>3</v>
      </c>
      <c r="H762">
        <v>2</v>
      </c>
      <c r="I762">
        <v>323.68</v>
      </c>
      <c r="J762" t="s">
        <v>16</v>
      </c>
    </row>
    <row r="763" spans="1:10" x14ac:dyDescent="0.35">
      <c r="A763">
        <v>762</v>
      </c>
      <c r="B763">
        <v>79</v>
      </c>
      <c r="C763" t="s">
        <v>5</v>
      </c>
      <c r="D763" s="1">
        <v>45026</v>
      </c>
      <c r="E763" t="s">
        <v>11</v>
      </c>
      <c r="F763" t="s">
        <v>12</v>
      </c>
      <c r="G763" t="s">
        <v>15</v>
      </c>
      <c r="H763">
        <v>1</v>
      </c>
      <c r="I763">
        <v>258.63</v>
      </c>
      <c r="J763" t="s">
        <v>8</v>
      </c>
    </row>
    <row r="764" spans="1:10" x14ac:dyDescent="0.35">
      <c r="A764">
        <v>763</v>
      </c>
      <c r="B764">
        <v>55</v>
      </c>
      <c r="C764" t="s">
        <v>0</v>
      </c>
      <c r="D764" s="1">
        <v>44991</v>
      </c>
      <c r="E764" t="s">
        <v>6</v>
      </c>
      <c r="F764" t="s">
        <v>17</v>
      </c>
      <c r="G764" t="s">
        <v>18</v>
      </c>
      <c r="H764">
        <v>1</v>
      </c>
      <c r="I764">
        <v>488.41</v>
      </c>
      <c r="J764" t="s">
        <v>8</v>
      </c>
    </row>
    <row r="765" spans="1:10" x14ac:dyDescent="0.35">
      <c r="A765">
        <v>764</v>
      </c>
      <c r="B765">
        <v>6</v>
      </c>
      <c r="C765" t="s">
        <v>5</v>
      </c>
      <c r="D765" s="1">
        <v>45256</v>
      </c>
      <c r="E765" t="s">
        <v>19</v>
      </c>
      <c r="F765" t="s">
        <v>17</v>
      </c>
      <c r="G765" t="s">
        <v>15</v>
      </c>
      <c r="H765">
        <v>1</v>
      </c>
      <c r="I765">
        <v>151.47</v>
      </c>
      <c r="J765" t="s">
        <v>10</v>
      </c>
    </row>
    <row r="766" spans="1:10" x14ac:dyDescent="0.35">
      <c r="A766">
        <v>765</v>
      </c>
      <c r="B766">
        <v>48</v>
      </c>
      <c r="C766" t="s">
        <v>5</v>
      </c>
      <c r="D766" s="1">
        <v>45099</v>
      </c>
      <c r="E766" t="s">
        <v>6</v>
      </c>
      <c r="F766" t="s">
        <v>7</v>
      </c>
      <c r="G766" t="s">
        <v>3</v>
      </c>
      <c r="H766">
        <v>3</v>
      </c>
      <c r="I766">
        <v>464.32</v>
      </c>
      <c r="J766" t="s">
        <v>4</v>
      </c>
    </row>
    <row r="767" spans="1:10" x14ac:dyDescent="0.35">
      <c r="A767">
        <v>766</v>
      </c>
      <c r="B767">
        <v>81</v>
      </c>
      <c r="C767" t="s">
        <v>0</v>
      </c>
      <c r="D767" s="1">
        <v>45063</v>
      </c>
      <c r="E767" t="s">
        <v>1</v>
      </c>
      <c r="F767" t="s">
        <v>2</v>
      </c>
      <c r="G767" t="s">
        <v>3</v>
      </c>
      <c r="H767">
        <v>0</v>
      </c>
      <c r="I767">
        <v>442.22</v>
      </c>
      <c r="J767" t="s">
        <v>4</v>
      </c>
    </row>
    <row r="768" spans="1:10" x14ac:dyDescent="0.35">
      <c r="A768">
        <v>767</v>
      </c>
      <c r="B768">
        <v>23</v>
      </c>
      <c r="C768" t="s">
        <v>5</v>
      </c>
      <c r="D768" s="1">
        <v>44933</v>
      </c>
      <c r="E768" t="s">
        <v>19</v>
      </c>
      <c r="F768" t="s">
        <v>2</v>
      </c>
      <c r="G768" t="s">
        <v>3</v>
      </c>
      <c r="H768">
        <v>6</v>
      </c>
      <c r="I768">
        <v>352.88</v>
      </c>
      <c r="J768" t="s">
        <v>10</v>
      </c>
    </row>
    <row r="769" spans="1:10" x14ac:dyDescent="0.35">
      <c r="A769">
        <v>768</v>
      </c>
      <c r="B769">
        <v>27</v>
      </c>
      <c r="C769" t="s">
        <v>5</v>
      </c>
      <c r="D769" s="1">
        <v>45635</v>
      </c>
      <c r="E769" t="s">
        <v>19</v>
      </c>
      <c r="F769" t="s">
        <v>17</v>
      </c>
      <c r="G769" t="s">
        <v>3</v>
      </c>
      <c r="H769">
        <v>7</v>
      </c>
      <c r="I769">
        <v>217.78</v>
      </c>
      <c r="J769" t="s">
        <v>8</v>
      </c>
    </row>
    <row r="770" spans="1:10" x14ac:dyDescent="0.35">
      <c r="A770">
        <v>769</v>
      </c>
      <c r="B770">
        <v>5</v>
      </c>
      <c r="C770" t="s">
        <v>5</v>
      </c>
      <c r="D770" s="1">
        <v>45552</v>
      </c>
      <c r="E770" t="s">
        <v>6</v>
      </c>
      <c r="F770" t="s">
        <v>7</v>
      </c>
      <c r="G770" t="s">
        <v>3</v>
      </c>
      <c r="H770">
        <v>9</v>
      </c>
      <c r="I770">
        <v>476.14</v>
      </c>
      <c r="J770" t="s">
        <v>16</v>
      </c>
    </row>
    <row r="771" spans="1:10" x14ac:dyDescent="0.35">
      <c r="A771">
        <v>770</v>
      </c>
      <c r="B771">
        <v>1</v>
      </c>
      <c r="C771" t="s">
        <v>5</v>
      </c>
      <c r="D771" s="1">
        <v>45283</v>
      </c>
      <c r="E771" t="s">
        <v>1</v>
      </c>
      <c r="F771" t="s">
        <v>12</v>
      </c>
      <c r="G771" t="s">
        <v>15</v>
      </c>
      <c r="H771">
        <v>8</v>
      </c>
      <c r="I771">
        <v>488.86</v>
      </c>
      <c r="J771" t="s">
        <v>16</v>
      </c>
    </row>
    <row r="772" spans="1:10" x14ac:dyDescent="0.35">
      <c r="A772">
        <v>771</v>
      </c>
      <c r="B772">
        <v>29</v>
      </c>
      <c r="C772" t="s">
        <v>0</v>
      </c>
      <c r="D772" s="1">
        <v>45479</v>
      </c>
      <c r="E772" t="s">
        <v>1</v>
      </c>
      <c r="F772" t="s">
        <v>9</v>
      </c>
      <c r="G772" t="s">
        <v>3</v>
      </c>
      <c r="H772">
        <v>4</v>
      </c>
      <c r="I772">
        <v>45.47</v>
      </c>
      <c r="J772" t="s">
        <v>4</v>
      </c>
    </row>
    <row r="773" spans="1:10" x14ac:dyDescent="0.35">
      <c r="A773">
        <v>772</v>
      </c>
      <c r="B773">
        <v>61</v>
      </c>
      <c r="C773" t="s">
        <v>0</v>
      </c>
      <c r="D773" s="1">
        <v>45079</v>
      </c>
      <c r="E773" t="s">
        <v>1</v>
      </c>
      <c r="F773" t="s">
        <v>7</v>
      </c>
      <c r="G773" t="s">
        <v>3</v>
      </c>
      <c r="H773">
        <v>2</v>
      </c>
      <c r="I773">
        <v>341.67</v>
      </c>
      <c r="J773" t="s">
        <v>4</v>
      </c>
    </row>
    <row r="774" spans="1:10" x14ac:dyDescent="0.35">
      <c r="A774">
        <v>773</v>
      </c>
      <c r="B774">
        <v>47</v>
      </c>
      <c r="C774" t="s">
        <v>0</v>
      </c>
      <c r="D774" s="1">
        <v>44982</v>
      </c>
      <c r="E774" t="s">
        <v>1</v>
      </c>
      <c r="F774" t="s">
        <v>7</v>
      </c>
      <c r="G774" t="s">
        <v>3</v>
      </c>
      <c r="H774">
        <v>6</v>
      </c>
      <c r="I774">
        <v>140.66</v>
      </c>
      <c r="J774" t="s">
        <v>10</v>
      </c>
    </row>
    <row r="775" spans="1:10" x14ac:dyDescent="0.35">
      <c r="A775">
        <v>774</v>
      </c>
      <c r="B775">
        <v>7</v>
      </c>
      <c r="C775" t="s">
        <v>5</v>
      </c>
      <c r="D775" s="1">
        <v>44971</v>
      </c>
      <c r="E775" t="s">
        <v>1</v>
      </c>
      <c r="F775" t="s">
        <v>2</v>
      </c>
      <c r="G775" t="s">
        <v>3</v>
      </c>
      <c r="H775">
        <v>0</v>
      </c>
      <c r="I775">
        <v>252.83</v>
      </c>
      <c r="J775" t="s">
        <v>4</v>
      </c>
    </row>
    <row r="776" spans="1:10" x14ac:dyDescent="0.35">
      <c r="A776">
        <v>775</v>
      </c>
      <c r="B776">
        <v>57</v>
      </c>
      <c r="C776" t="s">
        <v>0</v>
      </c>
      <c r="D776" s="1">
        <v>44999</v>
      </c>
      <c r="E776" t="s">
        <v>6</v>
      </c>
      <c r="F776" t="s">
        <v>17</v>
      </c>
      <c r="G776" t="s">
        <v>13</v>
      </c>
      <c r="H776">
        <v>10</v>
      </c>
      <c r="I776">
        <v>451.22</v>
      </c>
      <c r="J776" t="s">
        <v>8</v>
      </c>
    </row>
    <row r="777" spans="1:10" x14ac:dyDescent="0.35">
      <c r="A777">
        <v>776</v>
      </c>
      <c r="B777">
        <v>30</v>
      </c>
      <c r="C777" t="s">
        <v>5</v>
      </c>
      <c r="D777" s="1">
        <v>45039</v>
      </c>
      <c r="E777" t="s">
        <v>1</v>
      </c>
      <c r="F777" t="s">
        <v>14</v>
      </c>
      <c r="G777" t="s">
        <v>20</v>
      </c>
      <c r="H777">
        <v>3</v>
      </c>
      <c r="I777">
        <v>200.26</v>
      </c>
      <c r="J777" t="s">
        <v>8</v>
      </c>
    </row>
    <row r="778" spans="1:10" x14ac:dyDescent="0.35">
      <c r="A778">
        <v>777</v>
      </c>
      <c r="B778">
        <v>75</v>
      </c>
      <c r="C778" t="s">
        <v>0</v>
      </c>
      <c r="D778" s="1">
        <v>45002</v>
      </c>
      <c r="E778" t="s">
        <v>11</v>
      </c>
      <c r="F778" t="s">
        <v>12</v>
      </c>
      <c r="G778" t="s">
        <v>20</v>
      </c>
      <c r="H778">
        <v>2</v>
      </c>
      <c r="I778">
        <v>123.76</v>
      </c>
      <c r="J778" t="s">
        <v>10</v>
      </c>
    </row>
    <row r="779" spans="1:10" x14ac:dyDescent="0.35">
      <c r="A779">
        <v>778</v>
      </c>
      <c r="B779">
        <v>48</v>
      </c>
      <c r="C779" t="s">
        <v>5</v>
      </c>
      <c r="D779" s="1">
        <v>45109</v>
      </c>
      <c r="E779" t="s">
        <v>6</v>
      </c>
      <c r="F779" t="s">
        <v>12</v>
      </c>
      <c r="G779" t="s">
        <v>13</v>
      </c>
      <c r="H779">
        <v>10</v>
      </c>
      <c r="I779">
        <v>192.12</v>
      </c>
      <c r="J779" t="s">
        <v>16</v>
      </c>
    </row>
    <row r="780" spans="1:10" x14ac:dyDescent="0.35">
      <c r="A780">
        <v>779</v>
      </c>
      <c r="B780">
        <v>17</v>
      </c>
      <c r="C780" t="s">
        <v>5</v>
      </c>
      <c r="D780" s="1">
        <v>45134</v>
      </c>
      <c r="E780" t="s">
        <v>11</v>
      </c>
      <c r="F780" t="s">
        <v>14</v>
      </c>
      <c r="G780" t="s">
        <v>18</v>
      </c>
      <c r="H780">
        <v>2</v>
      </c>
      <c r="I780">
        <v>73.33</v>
      </c>
      <c r="J780" t="s">
        <v>10</v>
      </c>
    </row>
    <row r="781" spans="1:10" x14ac:dyDescent="0.35">
      <c r="A781">
        <v>780</v>
      </c>
      <c r="B781">
        <v>22</v>
      </c>
      <c r="C781" t="s">
        <v>0</v>
      </c>
      <c r="D781" s="1">
        <v>45396</v>
      </c>
      <c r="E781" t="s">
        <v>1</v>
      </c>
      <c r="F781" t="s">
        <v>12</v>
      </c>
      <c r="G781" t="s">
        <v>18</v>
      </c>
      <c r="H781">
        <v>9</v>
      </c>
      <c r="I781">
        <v>95.26</v>
      </c>
      <c r="J781" t="s">
        <v>8</v>
      </c>
    </row>
    <row r="782" spans="1:10" x14ac:dyDescent="0.35">
      <c r="A782">
        <v>781</v>
      </c>
      <c r="B782">
        <v>30</v>
      </c>
      <c r="C782" t="s">
        <v>5</v>
      </c>
      <c r="D782" s="1">
        <v>45518</v>
      </c>
      <c r="E782" t="s">
        <v>6</v>
      </c>
      <c r="F782" t="s">
        <v>9</v>
      </c>
      <c r="G782" t="s">
        <v>3</v>
      </c>
      <c r="H782">
        <v>8</v>
      </c>
      <c r="I782">
        <v>254.82</v>
      </c>
      <c r="J782" t="s">
        <v>8</v>
      </c>
    </row>
    <row r="783" spans="1:10" x14ac:dyDescent="0.35">
      <c r="A783">
        <v>782</v>
      </c>
      <c r="B783">
        <v>60</v>
      </c>
      <c r="C783" t="s">
        <v>0</v>
      </c>
      <c r="D783" s="1">
        <v>45532</v>
      </c>
      <c r="E783" t="s">
        <v>11</v>
      </c>
      <c r="F783" t="s">
        <v>12</v>
      </c>
      <c r="G783" t="s">
        <v>20</v>
      </c>
      <c r="H783">
        <v>3</v>
      </c>
      <c r="I783">
        <v>138.96</v>
      </c>
      <c r="J783" t="s">
        <v>10</v>
      </c>
    </row>
    <row r="784" spans="1:10" x14ac:dyDescent="0.35">
      <c r="A784">
        <v>783</v>
      </c>
      <c r="B784">
        <v>76</v>
      </c>
      <c r="C784" t="s">
        <v>5</v>
      </c>
      <c r="D784" s="1">
        <v>45520</v>
      </c>
      <c r="E784" t="s">
        <v>11</v>
      </c>
      <c r="F784" t="s">
        <v>17</v>
      </c>
      <c r="G784" t="s">
        <v>20</v>
      </c>
      <c r="H784">
        <v>0</v>
      </c>
      <c r="I784">
        <v>39.229999999999997</v>
      </c>
      <c r="J784" t="s">
        <v>10</v>
      </c>
    </row>
    <row r="785" spans="1:10" x14ac:dyDescent="0.35">
      <c r="A785">
        <v>784</v>
      </c>
      <c r="B785">
        <v>55</v>
      </c>
      <c r="C785" t="s">
        <v>0</v>
      </c>
      <c r="D785" s="1">
        <v>45443</v>
      </c>
      <c r="E785" t="s">
        <v>6</v>
      </c>
      <c r="F785" t="s">
        <v>2</v>
      </c>
      <c r="G785" t="s">
        <v>3</v>
      </c>
      <c r="H785">
        <v>1</v>
      </c>
      <c r="I785">
        <v>237.17</v>
      </c>
      <c r="J785" t="s">
        <v>8</v>
      </c>
    </row>
    <row r="786" spans="1:10" x14ac:dyDescent="0.35">
      <c r="A786">
        <v>785</v>
      </c>
      <c r="B786">
        <v>2</v>
      </c>
      <c r="C786" t="s">
        <v>0</v>
      </c>
      <c r="D786" s="1">
        <v>45012</v>
      </c>
      <c r="E786" t="s">
        <v>1</v>
      </c>
      <c r="F786" t="s">
        <v>9</v>
      </c>
      <c r="G786" t="s">
        <v>3</v>
      </c>
      <c r="H786">
        <v>2</v>
      </c>
      <c r="I786">
        <v>192.03</v>
      </c>
      <c r="J786" t="s">
        <v>8</v>
      </c>
    </row>
    <row r="787" spans="1:10" x14ac:dyDescent="0.35">
      <c r="A787">
        <v>786</v>
      </c>
      <c r="B787">
        <v>3</v>
      </c>
      <c r="C787" t="s">
        <v>0</v>
      </c>
      <c r="D787" s="1">
        <v>45590</v>
      </c>
      <c r="E787" t="s">
        <v>19</v>
      </c>
      <c r="F787" t="s">
        <v>2</v>
      </c>
      <c r="G787" t="s">
        <v>3</v>
      </c>
      <c r="H787">
        <v>2</v>
      </c>
      <c r="I787">
        <v>357.59</v>
      </c>
      <c r="J787" t="s">
        <v>4</v>
      </c>
    </row>
    <row r="788" spans="1:10" x14ac:dyDescent="0.35">
      <c r="A788">
        <v>787</v>
      </c>
      <c r="B788">
        <v>18</v>
      </c>
      <c r="C788" t="s">
        <v>0</v>
      </c>
      <c r="D788" s="1">
        <v>45392</v>
      </c>
      <c r="E788" t="s">
        <v>1</v>
      </c>
      <c r="F788" t="s">
        <v>12</v>
      </c>
      <c r="G788" t="s">
        <v>18</v>
      </c>
      <c r="H788">
        <v>10</v>
      </c>
      <c r="I788">
        <v>242.86</v>
      </c>
      <c r="J788" t="s">
        <v>4</v>
      </c>
    </row>
    <row r="789" spans="1:10" x14ac:dyDescent="0.35">
      <c r="A789">
        <v>788</v>
      </c>
      <c r="B789">
        <v>50</v>
      </c>
      <c r="C789" t="s">
        <v>0</v>
      </c>
      <c r="D789" s="1">
        <v>45569</v>
      </c>
      <c r="E789" t="s">
        <v>11</v>
      </c>
      <c r="F789" t="s">
        <v>2</v>
      </c>
      <c r="G789" t="s">
        <v>3</v>
      </c>
      <c r="H789">
        <v>4</v>
      </c>
      <c r="I789">
        <v>224.43</v>
      </c>
      <c r="J789" t="s">
        <v>16</v>
      </c>
    </row>
    <row r="790" spans="1:10" x14ac:dyDescent="0.35">
      <c r="A790">
        <v>789</v>
      </c>
      <c r="B790">
        <v>70</v>
      </c>
      <c r="C790" t="s">
        <v>5</v>
      </c>
      <c r="D790" s="1">
        <v>45641</v>
      </c>
      <c r="E790" t="s">
        <v>11</v>
      </c>
      <c r="F790" t="s">
        <v>9</v>
      </c>
      <c r="G790" t="s">
        <v>3</v>
      </c>
      <c r="H790">
        <v>9</v>
      </c>
      <c r="I790">
        <v>442.81</v>
      </c>
      <c r="J790" t="s">
        <v>4</v>
      </c>
    </row>
    <row r="791" spans="1:10" x14ac:dyDescent="0.35">
      <c r="A791">
        <v>790</v>
      </c>
      <c r="B791">
        <v>47</v>
      </c>
      <c r="C791" t="s">
        <v>5</v>
      </c>
      <c r="D791" s="1">
        <v>45454</v>
      </c>
      <c r="E791" t="s">
        <v>11</v>
      </c>
      <c r="F791" t="s">
        <v>7</v>
      </c>
      <c r="G791" t="s">
        <v>3</v>
      </c>
      <c r="H791">
        <v>6</v>
      </c>
      <c r="I791">
        <v>195.48</v>
      </c>
      <c r="J791" t="s">
        <v>4</v>
      </c>
    </row>
    <row r="792" spans="1:10" x14ac:dyDescent="0.35">
      <c r="A792">
        <v>791</v>
      </c>
      <c r="B792">
        <v>23</v>
      </c>
      <c r="C792" t="s">
        <v>5</v>
      </c>
      <c r="D792" s="1">
        <v>45301</v>
      </c>
      <c r="E792" t="s">
        <v>1</v>
      </c>
      <c r="F792" t="s">
        <v>14</v>
      </c>
      <c r="G792" t="s">
        <v>13</v>
      </c>
      <c r="H792">
        <v>5</v>
      </c>
      <c r="I792">
        <v>134.54</v>
      </c>
      <c r="J792" t="s">
        <v>4</v>
      </c>
    </row>
    <row r="793" spans="1:10" x14ac:dyDescent="0.35">
      <c r="A793">
        <v>792</v>
      </c>
      <c r="B793">
        <v>75</v>
      </c>
      <c r="C793" t="s">
        <v>5</v>
      </c>
      <c r="D793" s="1">
        <v>45591</v>
      </c>
      <c r="E793" t="s">
        <v>1</v>
      </c>
      <c r="F793" t="s">
        <v>12</v>
      </c>
      <c r="G793" t="s">
        <v>18</v>
      </c>
      <c r="H793">
        <v>5</v>
      </c>
      <c r="I793">
        <v>451.01</v>
      </c>
      <c r="J793" t="s">
        <v>10</v>
      </c>
    </row>
    <row r="794" spans="1:10" x14ac:dyDescent="0.35">
      <c r="A794">
        <v>793</v>
      </c>
      <c r="B794">
        <v>9</v>
      </c>
      <c r="C794" t="s">
        <v>0</v>
      </c>
      <c r="D794" s="1">
        <v>45210</v>
      </c>
      <c r="E794" t="s">
        <v>19</v>
      </c>
      <c r="F794" t="s">
        <v>2</v>
      </c>
      <c r="G794" t="s">
        <v>3</v>
      </c>
      <c r="H794">
        <v>7</v>
      </c>
      <c r="I794">
        <v>253.39</v>
      </c>
      <c r="J794" t="s">
        <v>4</v>
      </c>
    </row>
    <row r="795" spans="1:10" x14ac:dyDescent="0.35">
      <c r="A795">
        <v>794</v>
      </c>
      <c r="B795">
        <v>69</v>
      </c>
      <c r="C795" t="s">
        <v>0</v>
      </c>
      <c r="D795" s="1">
        <v>45408</v>
      </c>
      <c r="E795" t="s">
        <v>6</v>
      </c>
      <c r="F795" t="s">
        <v>7</v>
      </c>
      <c r="G795" t="s">
        <v>3</v>
      </c>
      <c r="H795">
        <v>9</v>
      </c>
      <c r="I795">
        <v>196.71</v>
      </c>
      <c r="J795" t="s">
        <v>4</v>
      </c>
    </row>
    <row r="796" spans="1:10" x14ac:dyDescent="0.35">
      <c r="A796">
        <v>795</v>
      </c>
      <c r="B796">
        <v>12</v>
      </c>
      <c r="C796" t="s">
        <v>5</v>
      </c>
      <c r="D796" s="1">
        <v>45119</v>
      </c>
      <c r="E796" t="s">
        <v>6</v>
      </c>
      <c r="F796" t="s">
        <v>12</v>
      </c>
      <c r="G796" t="s">
        <v>13</v>
      </c>
      <c r="H796">
        <v>4</v>
      </c>
      <c r="I796">
        <v>479.96</v>
      </c>
      <c r="J796" t="s">
        <v>4</v>
      </c>
    </row>
    <row r="797" spans="1:10" x14ac:dyDescent="0.35">
      <c r="A797">
        <v>796</v>
      </c>
      <c r="B797">
        <v>36</v>
      </c>
      <c r="C797" t="s">
        <v>5</v>
      </c>
      <c r="D797" s="1">
        <v>45038</v>
      </c>
      <c r="E797" t="s">
        <v>1</v>
      </c>
      <c r="F797" t="s">
        <v>17</v>
      </c>
      <c r="G797" t="s">
        <v>20</v>
      </c>
      <c r="H797">
        <v>2</v>
      </c>
      <c r="I797">
        <v>440</v>
      </c>
      <c r="J797" t="s">
        <v>4</v>
      </c>
    </row>
    <row r="798" spans="1:10" x14ac:dyDescent="0.35">
      <c r="A798">
        <v>797</v>
      </c>
      <c r="B798">
        <v>70</v>
      </c>
      <c r="C798" t="s">
        <v>5</v>
      </c>
      <c r="D798" s="1">
        <v>45227</v>
      </c>
      <c r="E798" t="s">
        <v>6</v>
      </c>
      <c r="F798" t="s">
        <v>12</v>
      </c>
      <c r="G798" t="s">
        <v>18</v>
      </c>
      <c r="H798">
        <v>6</v>
      </c>
      <c r="I798">
        <v>233.05</v>
      </c>
      <c r="J798" t="s">
        <v>4</v>
      </c>
    </row>
    <row r="799" spans="1:10" x14ac:dyDescent="0.35">
      <c r="A799">
        <v>798</v>
      </c>
      <c r="B799">
        <v>9</v>
      </c>
      <c r="C799" t="s">
        <v>5</v>
      </c>
      <c r="D799" s="1">
        <v>45225</v>
      </c>
      <c r="E799" t="s">
        <v>1</v>
      </c>
      <c r="F799" t="s">
        <v>17</v>
      </c>
      <c r="G799" t="s">
        <v>3</v>
      </c>
      <c r="H799">
        <v>10</v>
      </c>
      <c r="I799">
        <v>181.22</v>
      </c>
      <c r="J799" t="s">
        <v>16</v>
      </c>
    </row>
    <row r="800" spans="1:10" x14ac:dyDescent="0.35">
      <c r="A800">
        <v>799</v>
      </c>
      <c r="B800">
        <v>42</v>
      </c>
      <c r="C800" t="s">
        <v>0</v>
      </c>
      <c r="D800" s="1">
        <v>45598</v>
      </c>
      <c r="E800" t="s">
        <v>6</v>
      </c>
      <c r="F800" t="s">
        <v>7</v>
      </c>
      <c r="G800" t="s">
        <v>3</v>
      </c>
      <c r="H800">
        <v>7</v>
      </c>
      <c r="I800">
        <v>165.96</v>
      </c>
      <c r="J800" t="s">
        <v>8</v>
      </c>
    </row>
    <row r="801" spans="1:10" x14ac:dyDescent="0.35">
      <c r="A801">
        <v>800</v>
      </c>
      <c r="B801">
        <v>34</v>
      </c>
      <c r="C801" t="s">
        <v>5</v>
      </c>
      <c r="D801" s="1">
        <v>45240</v>
      </c>
      <c r="E801" t="s">
        <v>6</v>
      </c>
      <c r="F801" t="s">
        <v>17</v>
      </c>
      <c r="G801" t="s">
        <v>18</v>
      </c>
      <c r="H801">
        <v>4</v>
      </c>
      <c r="I801">
        <v>389.48</v>
      </c>
      <c r="J801" t="s">
        <v>4</v>
      </c>
    </row>
    <row r="802" spans="1:10" x14ac:dyDescent="0.35">
      <c r="A802">
        <v>801</v>
      </c>
      <c r="B802">
        <v>37</v>
      </c>
      <c r="C802" t="s">
        <v>0</v>
      </c>
      <c r="D802" s="1">
        <v>45078</v>
      </c>
      <c r="E802" t="s">
        <v>1</v>
      </c>
      <c r="F802" t="s">
        <v>14</v>
      </c>
      <c r="G802" t="s">
        <v>3</v>
      </c>
      <c r="H802">
        <v>2</v>
      </c>
      <c r="I802">
        <v>361.67</v>
      </c>
      <c r="J802" t="s">
        <v>16</v>
      </c>
    </row>
    <row r="803" spans="1:10" x14ac:dyDescent="0.35">
      <c r="A803">
        <v>802</v>
      </c>
      <c r="B803">
        <v>20</v>
      </c>
      <c r="C803" t="s">
        <v>5</v>
      </c>
      <c r="D803" s="1">
        <v>45113</v>
      </c>
      <c r="E803" t="s">
        <v>1</v>
      </c>
      <c r="F803" t="s">
        <v>17</v>
      </c>
      <c r="G803" t="s">
        <v>15</v>
      </c>
      <c r="H803">
        <v>0</v>
      </c>
      <c r="I803">
        <v>497.01</v>
      </c>
      <c r="J803" t="s">
        <v>8</v>
      </c>
    </row>
    <row r="804" spans="1:10" x14ac:dyDescent="0.35">
      <c r="A804">
        <v>803</v>
      </c>
      <c r="B804">
        <v>48</v>
      </c>
      <c r="C804" t="s">
        <v>5</v>
      </c>
      <c r="D804" s="1">
        <v>45378</v>
      </c>
      <c r="E804" t="s">
        <v>1</v>
      </c>
      <c r="F804" t="s">
        <v>14</v>
      </c>
      <c r="G804" t="s">
        <v>3</v>
      </c>
      <c r="H804">
        <v>0</v>
      </c>
      <c r="I804">
        <v>339.47</v>
      </c>
      <c r="J804" t="s">
        <v>16</v>
      </c>
    </row>
    <row r="805" spans="1:10" x14ac:dyDescent="0.35">
      <c r="A805">
        <v>804</v>
      </c>
      <c r="B805">
        <v>58</v>
      </c>
      <c r="C805" t="s">
        <v>5</v>
      </c>
      <c r="D805" s="1">
        <v>45078</v>
      </c>
      <c r="E805" t="s">
        <v>19</v>
      </c>
      <c r="F805" t="s">
        <v>14</v>
      </c>
      <c r="G805" t="s">
        <v>15</v>
      </c>
      <c r="H805">
        <v>0</v>
      </c>
      <c r="I805">
        <v>214.19</v>
      </c>
      <c r="J805" t="s">
        <v>10</v>
      </c>
    </row>
    <row r="806" spans="1:10" x14ac:dyDescent="0.35">
      <c r="A806">
        <v>805</v>
      </c>
      <c r="B806">
        <v>41</v>
      </c>
      <c r="C806" t="s">
        <v>5</v>
      </c>
      <c r="D806" s="1">
        <v>45075</v>
      </c>
      <c r="E806" t="s">
        <v>11</v>
      </c>
      <c r="F806" t="s">
        <v>12</v>
      </c>
      <c r="G806" t="s">
        <v>3</v>
      </c>
      <c r="H806">
        <v>8</v>
      </c>
      <c r="I806">
        <v>179.01</v>
      </c>
      <c r="J806" t="s">
        <v>16</v>
      </c>
    </row>
    <row r="807" spans="1:10" x14ac:dyDescent="0.35">
      <c r="A807">
        <v>806</v>
      </c>
      <c r="B807">
        <v>74</v>
      </c>
      <c r="C807" t="s">
        <v>5</v>
      </c>
      <c r="D807" s="1">
        <v>45412</v>
      </c>
      <c r="E807" t="s">
        <v>6</v>
      </c>
      <c r="F807" t="s">
        <v>14</v>
      </c>
      <c r="G807" t="s">
        <v>18</v>
      </c>
      <c r="H807">
        <v>1</v>
      </c>
      <c r="I807">
        <v>371.19</v>
      </c>
      <c r="J807" t="s">
        <v>4</v>
      </c>
    </row>
    <row r="808" spans="1:10" x14ac:dyDescent="0.35">
      <c r="A808">
        <v>807</v>
      </c>
      <c r="B808">
        <v>71</v>
      </c>
      <c r="C808" t="s">
        <v>5</v>
      </c>
      <c r="D808" s="1">
        <v>45069</v>
      </c>
      <c r="E808" t="s">
        <v>19</v>
      </c>
      <c r="F808" t="s">
        <v>7</v>
      </c>
      <c r="G808" t="s">
        <v>3</v>
      </c>
      <c r="H808">
        <v>0</v>
      </c>
      <c r="I808">
        <v>212.78</v>
      </c>
      <c r="J808" t="s">
        <v>8</v>
      </c>
    </row>
    <row r="809" spans="1:10" x14ac:dyDescent="0.35">
      <c r="A809">
        <v>808</v>
      </c>
      <c r="B809">
        <v>12</v>
      </c>
      <c r="C809" t="s">
        <v>0</v>
      </c>
      <c r="D809" s="1">
        <v>45383</v>
      </c>
      <c r="E809" t="s">
        <v>11</v>
      </c>
      <c r="F809" t="s">
        <v>14</v>
      </c>
      <c r="G809" t="s">
        <v>3</v>
      </c>
      <c r="H809">
        <v>10</v>
      </c>
      <c r="I809">
        <v>113.67</v>
      </c>
      <c r="J809" t="s">
        <v>8</v>
      </c>
    </row>
    <row r="810" spans="1:10" x14ac:dyDescent="0.35">
      <c r="A810">
        <v>809</v>
      </c>
      <c r="B810">
        <v>3</v>
      </c>
      <c r="C810" t="s">
        <v>5</v>
      </c>
      <c r="D810" s="1">
        <v>45211</v>
      </c>
      <c r="E810" t="s">
        <v>6</v>
      </c>
      <c r="F810" t="s">
        <v>17</v>
      </c>
      <c r="G810" t="s">
        <v>15</v>
      </c>
      <c r="H810">
        <v>8</v>
      </c>
      <c r="I810">
        <v>209.32</v>
      </c>
      <c r="J810" t="s">
        <v>10</v>
      </c>
    </row>
    <row r="811" spans="1:10" x14ac:dyDescent="0.35">
      <c r="A811">
        <v>810</v>
      </c>
      <c r="B811">
        <v>78</v>
      </c>
      <c r="C811" t="s">
        <v>5</v>
      </c>
      <c r="D811" s="1">
        <v>45252</v>
      </c>
      <c r="E811" t="s">
        <v>19</v>
      </c>
      <c r="F811" t="s">
        <v>9</v>
      </c>
      <c r="G811" t="s">
        <v>3</v>
      </c>
      <c r="H811">
        <v>6</v>
      </c>
      <c r="I811">
        <v>91.01</v>
      </c>
      <c r="J811" t="s">
        <v>10</v>
      </c>
    </row>
    <row r="812" spans="1:10" x14ac:dyDescent="0.35">
      <c r="A812">
        <v>811</v>
      </c>
      <c r="B812">
        <v>48</v>
      </c>
      <c r="C812" t="s">
        <v>5</v>
      </c>
      <c r="D812" s="1">
        <v>45305</v>
      </c>
      <c r="E812" t="s">
        <v>19</v>
      </c>
      <c r="F812" t="s">
        <v>12</v>
      </c>
      <c r="G812" t="s">
        <v>18</v>
      </c>
      <c r="H812">
        <v>5</v>
      </c>
      <c r="I812">
        <v>167.88</v>
      </c>
      <c r="J812" t="s">
        <v>10</v>
      </c>
    </row>
    <row r="813" spans="1:10" x14ac:dyDescent="0.35">
      <c r="A813">
        <v>812</v>
      </c>
      <c r="B813">
        <v>28</v>
      </c>
      <c r="C813" t="s">
        <v>0</v>
      </c>
      <c r="D813" s="1">
        <v>45501</v>
      </c>
      <c r="E813" t="s">
        <v>6</v>
      </c>
      <c r="F813" t="s">
        <v>2</v>
      </c>
      <c r="G813" t="s">
        <v>3</v>
      </c>
      <c r="H813">
        <v>7</v>
      </c>
      <c r="I813">
        <v>158.54</v>
      </c>
      <c r="J813" t="s">
        <v>10</v>
      </c>
    </row>
    <row r="814" spans="1:10" x14ac:dyDescent="0.35">
      <c r="A814">
        <v>813</v>
      </c>
      <c r="B814">
        <v>76</v>
      </c>
      <c r="C814" t="s">
        <v>5</v>
      </c>
      <c r="D814" s="1">
        <v>45351</v>
      </c>
      <c r="E814" t="s">
        <v>1</v>
      </c>
      <c r="F814" t="s">
        <v>17</v>
      </c>
      <c r="G814" t="s">
        <v>13</v>
      </c>
      <c r="H814">
        <v>4</v>
      </c>
      <c r="I814">
        <v>247.81</v>
      </c>
      <c r="J814" t="s">
        <v>16</v>
      </c>
    </row>
    <row r="815" spans="1:10" x14ac:dyDescent="0.35">
      <c r="A815">
        <v>814</v>
      </c>
      <c r="B815">
        <v>49</v>
      </c>
      <c r="C815" t="s">
        <v>5</v>
      </c>
      <c r="D815" s="1">
        <v>44994</v>
      </c>
      <c r="E815" t="s">
        <v>11</v>
      </c>
      <c r="F815" t="s">
        <v>9</v>
      </c>
      <c r="G815" t="s">
        <v>3</v>
      </c>
      <c r="H815">
        <v>6</v>
      </c>
      <c r="I815">
        <v>326.63</v>
      </c>
      <c r="J815" t="s">
        <v>16</v>
      </c>
    </row>
    <row r="816" spans="1:10" x14ac:dyDescent="0.35">
      <c r="A816">
        <v>815</v>
      </c>
      <c r="B816">
        <v>72</v>
      </c>
      <c r="C816" t="s">
        <v>0</v>
      </c>
      <c r="D816" s="1">
        <v>45351</v>
      </c>
      <c r="E816" t="s">
        <v>1</v>
      </c>
      <c r="F816" t="s">
        <v>17</v>
      </c>
      <c r="G816" t="s">
        <v>13</v>
      </c>
      <c r="H816">
        <v>2</v>
      </c>
      <c r="I816">
        <v>419.5</v>
      </c>
      <c r="J816" t="s">
        <v>16</v>
      </c>
    </row>
    <row r="817" spans="1:10" x14ac:dyDescent="0.35">
      <c r="A817">
        <v>816</v>
      </c>
      <c r="B817">
        <v>6</v>
      </c>
      <c r="C817" t="s">
        <v>0</v>
      </c>
      <c r="D817" s="1">
        <v>45494</v>
      </c>
      <c r="E817" t="s">
        <v>19</v>
      </c>
      <c r="F817" t="s">
        <v>12</v>
      </c>
      <c r="G817" t="s">
        <v>20</v>
      </c>
      <c r="H817">
        <v>8</v>
      </c>
      <c r="I817">
        <v>375.13</v>
      </c>
      <c r="J817" t="s">
        <v>8</v>
      </c>
    </row>
    <row r="818" spans="1:10" x14ac:dyDescent="0.35">
      <c r="A818">
        <v>817</v>
      </c>
      <c r="B818">
        <v>20</v>
      </c>
      <c r="C818" t="s">
        <v>0</v>
      </c>
      <c r="D818" s="1">
        <v>44954</v>
      </c>
      <c r="E818" t="s">
        <v>19</v>
      </c>
      <c r="F818" t="s">
        <v>2</v>
      </c>
      <c r="G818" t="s">
        <v>3</v>
      </c>
      <c r="H818">
        <v>10</v>
      </c>
      <c r="I818">
        <v>420.44</v>
      </c>
      <c r="J818" t="s">
        <v>10</v>
      </c>
    </row>
    <row r="819" spans="1:10" x14ac:dyDescent="0.35">
      <c r="A819">
        <v>818</v>
      </c>
      <c r="B819">
        <v>37</v>
      </c>
      <c r="C819" t="s">
        <v>0</v>
      </c>
      <c r="D819" s="1">
        <v>45054</v>
      </c>
      <c r="E819" t="s">
        <v>1</v>
      </c>
      <c r="F819" t="s">
        <v>7</v>
      </c>
      <c r="G819" t="s">
        <v>3</v>
      </c>
      <c r="H819">
        <v>7</v>
      </c>
      <c r="I819">
        <v>455.26</v>
      </c>
      <c r="J819" t="s">
        <v>8</v>
      </c>
    </row>
    <row r="820" spans="1:10" x14ac:dyDescent="0.35">
      <c r="A820">
        <v>819</v>
      </c>
      <c r="B820">
        <v>36</v>
      </c>
      <c r="C820" t="s">
        <v>0</v>
      </c>
      <c r="D820" s="1">
        <v>44956</v>
      </c>
      <c r="E820" t="s">
        <v>11</v>
      </c>
      <c r="F820" t="s">
        <v>2</v>
      </c>
      <c r="G820" t="s">
        <v>3</v>
      </c>
      <c r="H820">
        <v>9</v>
      </c>
      <c r="I820">
        <v>377.87</v>
      </c>
      <c r="J820" t="s">
        <v>10</v>
      </c>
    </row>
    <row r="821" spans="1:10" x14ac:dyDescent="0.35">
      <c r="A821">
        <v>820</v>
      </c>
      <c r="B821">
        <v>34</v>
      </c>
      <c r="C821" t="s">
        <v>0</v>
      </c>
      <c r="D821" s="1">
        <v>45506</v>
      </c>
      <c r="E821" t="s">
        <v>11</v>
      </c>
      <c r="F821" t="s">
        <v>12</v>
      </c>
      <c r="G821" t="s">
        <v>18</v>
      </c>
      <c r="H821">
        <v>8</v>
      </c>
      <c r="I821">
        <v>371.82</v>
      </c>
      <c r="J821" t="s">
        <v>4</v>
      </c>
    </row>
    <row r="822" spans="1:10" x14ac:dyDescent="0.35">
      <c r="A822">
        <v>821</v>
      </c>
      <c r="B822">
        <v>75</v>
      </c>
      <c r="C822" t="s">
        <v>5</v>
      </c>
      <c r="D822" s="1">
        <v>45192</v>
      </c>
      <c r="E822" t="s">
        <v>1</v>
      </c>
      <c r="F822" t="s">
        <v>17</v>
      </c>
      <c r="G822" t="s">
        <v>18</v>
      </c>
      <c r="H822">
        <v>7</v>
      </c>
      <c r="I822">
        <v>441.59</v>
      </c>
      <c r="J822" t="s">
        <v>8</v>
      </c>
    </row>
    <row r="823" spans="1:10" x14ac:dyDescent="0.35">
      <c r="A823">
        <v>822</v>
      </c>
      <c r="B823">
        <v>7</v>
      </c>
      <c r="C823" t="s">
        <v>0</v>
      </c>
      <c r="D823" s="1">
        <v>45292</v>
      </c>
      <c r="E823" t="s">
        <v>19</v>
      </c>
      <c r="F823" t="s">
        <v>17</v>
      </c>
      <c r="G823" t="s">
        <v>20</v>
      </c>
      <c r="H823">
        <v>10</v>
      </c>
      <c r="I823">
        <v>457.81</v>
      </c>
      <c r="J823" t="s">
        <v>16</v>
      </c>
    </row>
    <row r="824" spans="1:10" x14ac:dyDescent="0.35">
      <c r="A824">
        <v>823</v>
      </c>
      <c r="B824">
        <v>38</v>
      </c>
      <c r="C824" t="s">
        <v>5</v>
      </c>
      <c r="D824" s="1">
        <v>44976</v>
      </c>
      <c r="E824" t="s">
        <v>1</v>
      </c>
      <c r="F824" t="s">
        <v>14</v>
      </c>
      <c r="G824" t="s">
        <v>13</v>
      </c>
      <c r="H824">
        <v>1</v>
      </c>
      <c r="I824">
        <v>307.41000000000003</v>
      </c>
      <c r="J824" t="s">
        <v>8</v>
      </c>
    </row>
    <row r="825" spans="1:10" x14ac:dyDescent="0.35">
      <c r="A825">
        <v>824</v>
      </c>
      <c r="B825">
        <v>41</v>
      </c>
      <c r="C825" t="s">
        <v>0</v>
      </c>
      <c r="D825" s="1">
        <v>45483</v>
      </c>
      <c r="E825" t="s">
        <v>19</v>
      </c>
      <c r="F825" t="s">
        <v>14</v>
      </c>
      <c r="G825" t="s">
        <v>18</v>
      </c>
      <c r="H825">
        <v>1</v>
      </c>
      <c r="I825">
        <v>276.52</v>
      </c>
      <c r="J825" t="s">
        <v>16</v>
      </c>
    </row>
    <row r="826" spans="1:10" x14ac:dyDescent="0.35">
      <c r="A826">
        <v>825</v>
      </c>
      <c r="B826">
        <v>18</v>
      </c>
      <c r="C826" t="s">
        <v>0</v>
      </c>
      <c r="D826" s="1">
        <v>45074</v>
      </c>
      <c r="E826" t="s">
        <v>19</v>
      </c>
      <c r="F826" t="s">
        <v>2</v>
      </c>
      <c r="G826" t="s">
        <v>3</v>
      </c>
      <c r="H826">
        <v>7</v>
      </c>
      <c r="I826">
        <v>217.76</v>
      </c>
      <c r="J826" t="s">
        <v>8</v>
      </c>
    </row>
    <row r="827" spans="1:10" x14ac:dyDescent="0.35">
      <c r="A827">
        <v>826</v>
      </c>
      <c r="B827">
        <v>20</v>
      </c>
      <c r="C827" t="s">
        <v>5</v>
      </c>
      <c r="D827" s="1">
        <v>45031</v>
      </c>
      <c r="E827" t="s">
        <v>1</v>
      </c>
      <c r="F827" t="s">
        <v>17</v>
      </c>
      <c r="G827" t="s">
        <v>3</v>
      </c>
      <c r="H827">
        <v>9</v>
      </c>
      <c r="I827">
        <v>351.03</v>
      </c>
      <c r="J827" t="s">
        <v>4</v>
      </c>
    </row>
    <row r="828" spans="1:10" x14ac:dyDescent="0.35">
      <c r="A828">
        <v>827</v>
      </c>
      <c r="B828">
        <v>10</v>
      </c>
      <c r="C828" t="s">
        <v>5</v>
      </c>
      <c r="D828" s="1">
        <v>45354</v>
      </c>
      <c r="E828" t="s">
        <v>1</v>
      </c>
      <c r="F828" t="s">
        <v>12</v>
      </c>
      <c r="G828" t="s">
        <v>15</v>
      </c>
      <c r="H828">
        <v>7</v>
      </c>
      <c r="I828">
        <v>187.14</v>
      </c>
      <c r="J828" t="s">
        <v>16</v>
      </c>
    </row>
    <row r="829" spans="1:10" x14ac:dyDescent="0.35">
      <c r="A829">
        <v>828</v>
      </c>
      <c r="B829">
        <v>77</v>
      </c>
      <c r="C829" t="s">
        <v>0</v>
      </c>
      <c r="D829" s="1">
        <v>45069</v>
      </c>
      <c r="E829" t="s">
        <v>1</v>
      </c>
      <c r="F829" t="s">
        <v>12</v>
      </c>
      <c r="G829" t="s">
        <v>18</v>
      </c>
      <c r="H829">
        <v>0</v>
      </c>
      <c r="I829">
        <v>377.34</v>
      </c>
      <c r="J829" t="s">
        <v>4</v>
      </c>
    </row>
    <row r="830" spans="1:10" x14ac:dyDescent="0.35">
      <c r="A830">
        <v>829</v>
      </c>
      <c r="B830">
        <v>19</v>
      </c>
      <c r="C830" t="s">
        <v>5</v>
      </c>
      <c r="D830" s="1">
        <v>45154</v>
      </c>
      <c r="E830" t="s">
        <v>19</v>
      </c>
      <c r="F830" t="s">
        <v>17</v>
      </c>
      <c r="G830" t="s">
        <v>13</v>
      </c>
      <c r="H830">
        <v>3</v>
      </c>
      <c r="I830">
        <v>82.5</v>
      </c>
      <c r="J830" t="s">
        <v>4</v>
      </c>
    </row>
    <row r="831" spans="1:10" x14ac:dyDescent="0.35">
      <c r="A831">
        <v>830</v>
      </c>
      <c r="B831">
        <v>15</v>
      </c>
      <c r="C831" t="s">
        <v>5</v>
      </c>
      <c r="D831" s="1">
        <v>45362</v>
      </c>
      <c r="E831" t="s">
        <v>11</v>
      </c>
      <c r="F831" t="s">
        <v>7</v>
      </c>
      <c r="G831" t="s">
        <v>3</v>
      </c>
      <c r="H831">
        <v>7</v>
      </c>
      <c r="I831">
        <v>383.52</v>
      </c>
      <c r="J831" t="s">
        <v>4</v>
      </c>
    </row>
    <row r="832" spans="1:10" x14ac:dyDescent="0.35">
      <c r="A832">
        <v>831</v>
      </c>
      <c r="B832">
        <v>5</v>
      </c>
      <c r="C832" t="s">
        <v>5</v>
      </c>
      <c r="D832" s="1">
        <v>45128</v>
      </c>
      <c r="E832" t="s">
        <v>6</v>
      </c>
      <c r="F832" t="s">
        <v>2</v>
      </c>
      <c r="G832" t="s">
        <v>3</v>
      </c>
      <c r="H832">
        <v>1</v>
      </c>
      <c r="I832">
        <v>456.09</v>
      </c>
      <c r="J832" t="s">
        <v>4</v>
      </c>
    </row>
    <row r="833" spans="1:10" x14ac:dyDescent="0.35">
      <c r="A833">
        <v>832</v>
      </c>
      <c r="B833">
        <v>2</v>
      </c>
      <c r="C833" t="s">
        <v>5</v>
      </c>
      <c r="D833" s="1">
        <v>44994</v>
      </c>
      <c r="E833" t="s">
        <v>11</v>
      </c>
      <c r="F833" t="s">
        <v>14</v>
      </c>
      <c r="G833" t="s">
        <v>3</v>
      </c>
      <c r="H833">
        <v>3</v>
      </c>
      <c r="I833">
        <v>302.05</v>
      </c>
      <c r="J833" t="s">
        <v>8</v>
      </c>
    </row>
    <row r="834" spans="1:10" x14ac:dyDescent="0.35">
      <c r="A834">
        <v>833</v>
      </c>
      <c r="B834">
        <v>45</v>
      </c>
      <c r="C834" t="s">
        <v>5</v>
      </c>
      <c r="D834" s="1">
        <v>45116</v>
      </c>
      <c r="E834" t="s">
        <v>11</v>
      </c>
      <c r="F834" t="s">
        <v>7</v>
      </c>
      <c r="G834" t="s">
        <v>3</v>
      </c>
      <c r="H834">
        <v>2</v>
      </c>
      <c r="I834">
        <v>426.01</v>
      </c>
      <c r="J834" t="s">
        <v>16</v>
      </c>
    </row>
    <row r="835" spans="1:10" x14ac:dyDescent="0.35">
      <c r="A835">
        <v>834</v>
      </c>
      <c r="B835">
        <v>46</v>
      </c>
      <c r="C835" t="s">
        <v>5</v>
      </c>
      <c r="D835" s="1">
        <v>45520</v>
      </c>
      <c r="E835" t="s">
        <v>1</v>
      </c>
      <c r="F835" t="s">
        <v>14</v>
      </c>
      <c r="G835" t="s">
        <v>3</v>
      </c>
      <c r="H835">
        <v>9</v>
      </c>
      <c r="I835">
        <v>52.8</v>
      </c>
      <c r="J835" t="s">
        <v>4</v>
      </c>
    </row>
    <row r="836" spans="1:10" x14ac:dyDescent="0.35">
      <c r="A836">
        <v>835</v>
      </c>
      <c r="B836">
        <v>25</v>
      </c>
      <c r="C836" t="s">
        <v>0</v>
      </c>
      <c r="D836" s="1">
        <v>45468</v>
      </c>
      <c r="E836" t="s">
        <v>1</v>
      </c>
      <c r="F836" t="s">
        <v>17</v>
      </c>
      <c r="G836" t="s">
        <v>3</v>
      </c>
      <c r="H836">
        <v>0</v>
      </c>
      <c r="I836">
        <v>487.32</v>
      </c>
      <c r="J836" t="s">
        <v>4</v>
      </c>
    </row>
    <row r="837" spans="1:10" x14ac:dyDescent="0.35">
      <c r="A837">
        <v>836</v>
      </c>
      <c r="B837">
        <v>61</v>
      </c>
      <c r="C837" t="s">
        <v>0</v>
      </c>
      <c r="D837" s="1">
        <v>45146</v>
      </c>
      <c r="E837" t="s">
        <v>1</v>
      </c>
      <c r="F837" t="s">
        <v>9</v>
      </c>
      <c r="G837" t="s">
        <v>3</v>
      </c>
      <c r="H837">
        <v>7</v>
      </c>
      <c r="I837">
        <v>343.29</v>
      </c>
      <c r="J837" t="s">
        <v>4</v>
      </c>
    </row>
    <row r="838" spans="1:10" x14ac:dyDescent="0.35">
      <c r="A838">
        <v>837</v>
      </c>
      <c r="B838">
        <v>49</v>
      </c>
      <c r="C838" t="s">
        <v>0</v>
      </c>
      <c r="D838" s="1">
        <v>45112</v>
      </c>
      <c r="E838" t="s">
        <v>1</v>
      </c>
      <c r="F838" t="s">
        <v>14</v>
      </c>
      <c r="G838" t="s">
        <v>3</v>
      </c>
      <c r="H838">
        <v>3</v>
      </c>
      <c r="I838">
        <v>215.64</v>
      </c>
      <c r="J838" t="s">
        <v>16</v>
      </c>
    </row>
    <row r="839" spans="1:10" x14ac:dyDescent="0.35">
      <c r="A839">
        <v>838</v>
      </c>
      <c r="B839">
        <v>15</v>
      </c>
      <c r="C839" t="s">
        <v>5</v>
      </c>
      <c r="D839" s="1">
        <v>45053</v>
      </c>
      <c r="E839" t="s">
        <v>6</v>
      </c>
      <c r="F839" t="s">
        <v>12</v>
      </c>
      <c r="G839" t="s">
        <v>18</v>
      </c>
      <c r="H839">
        <v>4</v>
      </c>
      <c r="I839">
        <v>287.42</v>
      </c>
      <c r="J839" t="s">
        <v>4</v>
      </c>
    </row>
    <row r="840" spans="1:10" x14ac:dyDescent="0.35">
      <c r="A840">
        <v>839</v>
      </c>
      <c r="B840">
        <v>64</v>
      </c>
      <c r="C840" t="s">
        <v>5</v>
      </c>
      <c r="D840" s="1">
        <v>45011</v>
      </c>
      <c r="E840" t="s">
        <v>6</v>
      </c>
      <c r="F840" t="s">
        <v>14</v>
      </c>
      <c r="G840" t="s">
        <v>18</v>
      </c>
      <c r="H840">
        <v>7</v>
      </c>
      <c r="I840">
        <v>308.19</v>
      </c>
      <c r="J840" t="s">
        <v>16</v>
      </c>
    </row>
    <row r="841" spans="1:10" x14ac:dyDescent="0.35">
      <c r="A841">
        <v>840</v>
      </c>
      <c r="B841">
        <v>29</v>
      </c>
      <c r="C841" t="s">
        <v>0</v>
      </c>
      <c r="D841" s="1">
        <v>45630</v>
      </c>
      <c r="E841" t="s">
        <v>19</v>
      </c>
      <c r="F841" t="s">
        <v>12</v>
      </c>
      <c r="G841" t="s">
        <v>20</v>
      </c>
      <c r="H841">
        <v>3</v>
      </c>
      <c r="I841">
        <v>431.25</v>
      </c>
      <c r="J841" t="s">
        <v>10</v>
      </c>
    </row>
    <row r="842" spans="1:10" x14ac:dyDescent="0.35">
      <c r="A842">
        <v>841</v>
      </c>
      <c r="B842">
        <v>23</v>
      </c>
      <c r="C842" t="s">
        <v>5</v>
      </c>
      <c r="D842" s="1">
        <v>45622</v>
      </c>
      <c r="E842" t="s">
        <v>6</v>
      </c>
      <c r="F842" t="s">
        <v>14</v>
      </c>
      <c r="G842" t="s">
        <v>15</v>
      </c>
      <c r="H842">
        <v>6</v>
      </c>
      <c r="I842">
        <v>230.27</v>
      </c>
      <c r="J842" t="s">
        <v>4</v>
      </c>
    </row>
    <row r="843" spans="1:10" x14ac:dyDescent="0.35">
      <c r="A843">
        <v>842</v>
      </c>
      <c r="B843">
        <v>51</v>
      </c>
      <c r="C843" t="s">
        <v>0</v>
      </c>
      <c r="D843" s="1">
        <v>45049</v>
      </c>
      <c r="E843" t="s">
        <v>11</v>
      </c>
      <c r="F843" t="s">
        <v>17</v>
      </c>
      <c r="G843" t="s">
        <v>13</v>
      </c>
      <c r="H843">
        <v>1</v>
      </c>
      <c r="I843">
        <v>194.58</v>
      </c>
      <c r="J843" t="s">
        <v>8</v>
      </c>
    </row>
    <row r="844" spans="1:10" x14ac:dyDescent="0.35">
      <c r="A844">
        <v>843</v>
      </c>
      <c r="B844">
        <v>77</v>
      </c>
      <c r="C844" t="s">
        <v>0</v>
      </c>
      <c r="D844" s="1">
        <v>45273</v>
      </c>
      <c r="E844" t="s">
        <v>11</v>
      </c>
      <c r="F844" t="s">
        <v>17</v>
      </c>
      <c r="G844" t="s">
        <v>13</v>
      </c>
      <c r="H844">
        <v>6</v>
      </c>
      <c r="I844">
        <v>368.1</v>
      </c>
      <c r="J844" t="s">
        <v>16</v>
      </c>
    </row>
    <row r="845" spans="1:10" x14ac:dyDescent="0.35">
      <c r="A845">
        <v>844</v>
      </c>
      <c r="B845">
        <v>76</v>
      </c>
      <c r="C845" t="s">
        <v>0</v>
      </c>
      <c r="D845" s="1">
        <v>45657</v>
      </c>
      <c r="E845" t="s">
        <v>6</v>
      </c>
      <c r="F845" t="s">
        <v>9</v>
      </c>
      <c r="G845" t="s">
        <v>3</v>
      </c>
      <c r="H845">
        <v>5</v>
      </c>
      <c r="I845">
        <v>248.4</v>
      </c>
      <c r="J845" t="s">
        <v>10</v>
      </c>
    </row>
    <row r="846" spans="1:10" x14ac:dyDescent="0.35">
      <c r="A846">
        <v>845</v>
      </c>
      <c r="B846">
        <v>36</v>
      </c>
      <c r="C846" t="s">
        <v>5</v>
      </c>
      <c r="D846" s="1">
        <v>45423</v>
      </c>
      <c r="E846" t="s">
        <v>6</v>
      </c>
      <c r="F846" t="s">
        <v>9</v>
      </c>
      <c r="G846" t="s">
        <v>3</v>
      </c>
      <c r="H846">
        <v>1</v>
      </c>
      <c r="I846">
        <v>78.650000000000006</v>
      </c>
      <c r="J846" t="s">
        <v>10</v>
      </c>
    </row>
    <row r="847" spans="1:10" x14ac:dyDescent="0.35">
      <c r="A847">
        <v>846</v>
      </c>
      <c r="B847">
        <v>81</v>
      </c>
      <c r="C847" t="s">
        <v>5</v>
      </c>
      <c r="D847" s="1">
        <v>45436</v>
      </c>
      <c r="E847" t="s">
        <v>11</v>
      </c>
      <c r="F847" t="s">
        <v>17</v>
      </c>
      <c r="G847" t="s">
        <v>15</v>
      </c>
      <c r="H847">
        <v>0</v>
      </c>
      <c r="I847">
        <v>418.55</v>
      </c>
      <c r="J847" t="s">
        <v>10</v>
      </c>
    </row>
    <row r="848" spans="1:10" x14ac:dyDescent="0.35">
      <c r="A848">
        <v>847</v>
      </c>
      <c r="B848">
        <v>23</v>
      </c>
      <c r="C848" t="s">
        <v>0</v>
      </c>
      <c r="D848" s="1">
        <v>45621</v>
      </c>
      <c r="E848" t="s">
        <v>19</v>
      </c>
      <c r="F848" t="s">
        <v>2</v>
      </c>
      <c r="G848" t="s">
        <v>3</v>
      </c>
      <c r="H848">
        <v>2</v>
      </c>
      <c r="I848">
        <v>165.32</v>
      </c>
      <c r="J848" t="s">
        <v>4</v>
      </c>
    </row>
    <row r="849" spans="1:10" x14ac:dyDescent="0.35">
      <c r="A849">
        <v>848</v>
      </c>
      <c r="B849">
        <v>67</v>
      </c>
      <c r="C849" t="s">
        <v>0</v>
      </c>
      <c r="D849" s="1">
        <v>45005</v>
      </c>
      <c r="E849" t="s">
        <v>6</v>
      </c>
      <c r="F849" t="s">
        <v>7</v>
      </c>
      <c r="G849" t="s">
        <v>3</v>
      </c>
      <c r="H849">
        <v>3</v>
      </c>
      <c r="I849">
        <v>160.91</v>
      </c>
      <c r="J849" t="s">
        <v>10</v>
      </c>
    </row>
    <row r="850" spans="1:10" x14ac:dyDescent="0.35">
      <c r="A850">
        <v>849</v>
      </c>
      <c r="B850">
        <v>34</v>
      </c>
      <c r="C850" t="s">
        <v>0</v>
      </c>
      <c r="D850" s="1">
        <v>45429</v>
      </c>
      <c r="E850" t="s">
        <v>11</v>
      </c>
      <c r="F850" t="s">
        <v>9</v>
      </c>
      <c r="G850" t="s">
        <v>3</v>
      </c>
      <c r="H850">
        <v>0</v>
      </c>
      <c r="I850">
        <v>495.54</v>
      </c>
      <c r="J850" t="s">
        <v>4</v>
      </c>
    </row>
    <row r="851" spans="1:10" x14ac:dyDescent="0.35">
      <c r="A851">
        <v>850</v>
      </c>
      <c r="B851">
        <v>41</v>
      </c>
      <c r="C851" t="s">
        <v>0</v>
      </c>
      <c r="D851" s="1">
        <v>45319</v>
      </c>
      <c r="E851" t="s">
        <v>6</v>
      </c>
      <c r="F851" t="s">
        <v>12</v>
      </c>
      <c r="G851" t="s">
        <v>20</v>
      </c>
      <c r="H851">
        <v>0</v>
      </c>
      <c r="I851">
        <v>35.770000000000003</v>
      </c>
      <c r="J851" t="s">
        <v>16</v>
      </c>
    </row>
    <row r="852" spans="1:10" x14ac:dyDescent="0.35">
      <c r="A852">
        <v>851</v>
      </c>
      <c r="B852">
        <v>63</v>
      </c>
      <c r="C852" t="s">
        <v>0</v>
      </c>
      <c r="D852" s="1">
        <v>45650</v>
      </c>
      <c r="E852" t="s">
        <v>1</v>
      </c>
      <c r="F852" t="s">
        <v>17</v>
      </c>
      <c r="G852" t="s">
        <v>18</v>
      </c>
      <c r="H852">
        <v>6</v>
      </c>
      <c r="I852">
        <v>253.98</v>
      </c>
      <c r="J852" t="s">
        <v>4</v>
      </c>
    </row>
    <row r="853" spans="1:10" x14ac:dyDescent="0.35">
      <c r="A853">
        <v>852</v>
      </c>
      <c r="B853">
        <v>63</v>
      </c>
      <c r="C853" t="s">
        <v>0</v>
      </c>
      <c r="D853" s="1">
        <v>45509</v>
      </c>
      <c r="E853" t="s">
        <v>6</v>
      </c>
      <c r="F853" t="s">
        <v>7</v>
      </c>
      <c r="G853" t="s">
        <v>3</v>
      </c>
      <c r="H853">
        <v>8</v>
      </c>
      <c r="I853">
        <v>430.09</v>
      </c>
      <c r="J853" t="s">
        <v>4</v>
      </c>
    </row>
    <row r="854" spans="1:10" x14ac:dyDescent="0.35">
      <c r="A854">
        <v>853</v>
      </c>
      <c r="B854">
        <v>64</v>
      </c>
      <c r="C854" t="s">
        <v>0</v>
      </c>
      <c r="D854" s="1">
        <v>45327</v>
      </c>
      <c r="E854" t="s">
        <v>19</v>
      </c>
      <c r="F854" t="s">
        <v>14</v>
      </c>
      <c r="G854" t="s">
        <v>18</v>
      </c>
      <c r="H854">
        <v>5</v>
      </c>
      <c r="I854">
        <v>49.48</v>
      </c>
      <c r="J854" t="s">
        <v>4</v>
      </c>
    </row>
    <row r="855" spans="1:10" x14ac:dyDescent="0.35">
      <c r="A855">
        <v>854</v>
      </c>
      <c r="B855">
        <v>45</v>
      </c>
      <c r="C855" t="s">
        <v>5</v>
      </c>
      <c r="D855" s="1">
        <v>45058</v>
      </c>
      <c r="E855" t="s">
        <v>19</v>
      </c>
      <c r="F855" t="s">
        <v>14</v>
      </c>
      <c r="G855" t="s">
        <v>20</v>
      </c>
      <c r="H855">
        <v>1</v>
      </c>
      <c r="I855">
        <v>225.51</v>
      </c>
      <c r="J855" t="s">
        <v>16</v>
      </c>
    </row>
    <row r="856" spans="1:10" x14ac:dyDescent="0.35">
      <c r="A856">
        <v>855</v>
      </c>
      <c r="B856">
        <v>8</v>
      </c>
      <c r="C856" t="s">
        <v>5</v>
      </c>
      <c r="D856" s="1">
        <v>45348</v>
      </c>
      <c r="E856" t="s">
        <v>1</v>
      </c>
      <c r="F856" t="s">
        <v>14</v>
      </c>
      <c r="G856" t="s">
        <v>13</v>
      </c>
      <c r="H856">
        <v>10</v>
      </c>
      <c r="I856">
        <v>169.81</v>
      </c>
      <c r="J856" t="s">
        <v>4</v>
      </c>
    </row>
    <row r="857" spans="1:10" x14ac:dyDescent="0.35">
      <c r="A857">
        <v>856</v>
      </c>
      <c r="B857">
        <v>40</v>
      </c>
      <c r="C857" t="s">
        <v>5</v>
      </c>
      <c r="D857" s="1">
        <v>45631</v>
      </c>
      <c r="E857" t="s">
        <v>19</v>
      </c>
      <c r="F857" t="s">
        <v>2</v>
      </c>
      <c r="G857" t="s">
        <v>3</v>
      </c>
      <c r="H857">
        <v>2</v>
      </c>
      <c r="I857">
        <v>29.46</v>
      </c>
      <c r="J857" t="s">
        <v>16</v>
      </c>
    </row>
    <row r="858" spans="1:10" x14ac:dyDescent="0.35">
      <c r="A858">
        <v>857</v>
      </c>
      <c r="B858">
        <v>85</v>
      </c>
      <c r="C858" t="s">
        <v>0</v>
      </c>
      <c r="D858" s="1">
        <v>44965</v>
      </c>
      <c r="E858" t="s">
        <v>6</v>
      </c>
      <c r="F858" t="s">
        <v>12</v>
      </c>
      <c r="G858" t="s">
        <v>18</v>
      </c>
      <c r="H858">
        <v>0</v>
      </c>
      <c r="I858">
        <v>354.06</v>
      </c>
      <c r="J858" t="s">
        <v>4</v>
      </c>
    </row>
    <row r="859" spans="1:10" x14ac:dyDescent="0.35">
      <c r="A859">
        <v>858</v>
      </c>
      <c r="B859">
        <v>74</v>
      </c>
      <c r="C859" t="s">
        <v>0</v>
      </c>
      <c r="D859" s="1">
        <v>45251</v>
      </c>
      <c r="E859" t="s">
        <v>19</v>
      </c>
      <c r="F859" t="s">
        <v>12</v>
      </c>
      <c r="G859" t="s">
        <v>3</v>
      </c>
      <c r="H859">
        <v>1</v>
      </c>
      <c r="I859">
        <v>408</v>
      </c>
      <c r="J859" t="s">
        <v>4</v>
      </c>
    </row>
    <row r="860" spans="1:10" x14ac:dyDescent="0.35">
      <c r="A860">
        <v>859</v>
      </c>
      <c r="B860">
        <v>27</v>
      </c>
      <c r="C860" t="s">
        <v>0</v>
      </c>
      <c r="D860" s="1">
        <v>45634</v>
      </c>
      <c r="E860" t="s">
        <v>6</v>
      </c>
      <c r="F860" t="s">
        <v>7</v>
      </c>
      <c r="G860" t="s">
        <v>3</v>
      </c>
      <c r="H860">
        <v>8</v>
      </c>
      <c r="I860">
        <v>409.5</v>
      </c>
      <c r="J860" t="s">
        <v>16</v>
      </c>
    </row>
    <row r="861" spans="1:10" x14ac:dyDescent="0.35">
      <c r="A861">
        <v>860</v>
      </c>
      <c r="B861">
        <v>39</v>
      </c>
      <c r="C861" t="s">
        <v>0</v>
      </c>
      <c r="D861" s="1">
        <v>45097</v>
      </c>
      <c r="E861" t="s">
        <v>6</v>
      </c>
      <c r="F861" t="s">
        <v>9</v>
      </c>
      <c r="G861" t="s">
        <v>3</v>
      </c>
      <c r="H861">
        <v>3</v>
      </c>
      <c r="I861">
        <v>258.54000000000002</v>
      </c>
      <c r="J861" t="s">
        <v>4</v>
      </c>
    </row>
    <row r="862" spans="1:10" x14ac:dyDescent="0.35">
      <c r="A862">
        <v>861</v>
      </c>
      <c r="B862">
        <v>37</v>
      </c>
      <c r="C862" t="s">
        <v>0</v>
      </c>
      <c r="D862" s="1">
        <v>45475</v>
      </c>
      <c r="E862" t="s">
        <v>11</v>
      </c>
      <c r="F862" t="s">
        <v>17</v>
      </c>
      <c r="G862" t="s">
        <v>18</v>
      </c>
      <c r="H862">
        <v>9</v>
      </c>
      <c r="I862">
        <v>212.97</v>
      </c>
      <c r="J862" t="s">
        <v>8</v>
      </c>
    </row>
    <row r="863" spans="1:10" x14ac:dyDescent="0.35">
      <c r="A863">
        <v>862</v>
      </c>
      <c r="B863">
        <v>12</v>
      </c>
      <c r="C863" t="s">
        <v>5</v>
      </c>
      <c r="D863" s="1">
        <v>45566</v>
      </c>
      <c r="E863" t="s">
        <v>19</v>
      </c>
      <c r="F863" t="s">
        <v>7</v>
      </c>
      <c r="G863" t="s">
        <v>3</v>
      </c>
      <c r="H863">
        <v>4</v>
      </c>
      <c r="I863">
        <v>52.29</v>
      </c>
      <c r="J863" t="s">
        <v>10</v>
      </c>
    </row>
    <row r="864" spans="1:10" x14ac:dyDescent="0.35">
      <c r="A864">
        <v>863</v>
      </c>
      <c r="B864">
        <v>45</v>
      </c>
      <c r="C864" t="s">
        <v>5</v>
      </c>
      <c r="D864" s="1">
        <v>45364</v>
      </c>
      <c r="E864" t="s">
        <v>19</v>
      </c>
      <c r="F864" t="s">
        <v>17</v>
      </c>
      <c r="G864" t="s">
        <v>3</v>
      </c>
      <c r="H864">
        <v>4</v>
      </c>
      <c r="I864">
        <v>227.8</v>
      </c>
      <c r="J864" t="s">
        <v>16</v>
      </c>
    </row>
    <row r="865" spans="1:10" x14ac:dyDescent="0.35">
      <c r="A865">
        <v>864</v>
      </c>
      <c r="B865">
        <v>52</v>
      </c>
      <c r="C865" t="s">
        <v>0</v>
      </c>
      <c r="D865" s="1">
        <v>45131</v>
      </c>
      <c r="E865" t="s">
        <v>6</v>
      </c>
      <c r="F865" t="s">
        <v>12</v>
      </c>
      <c r="G865" t="s">
        <v>3</v>
      </c>
      <c r="H865">
        <v>2</v>
      </c>
      <c r="I865">
        <v>442.83</v>
      </c>
      <c r="J865" t="s">
        <v>8</v>
      </c>
    </row>
    <row r="866" spans="1:10" x14ac:dyDescent="0.35">
      <c r="A866">
        <v>865</v>
      </c>
      <c r="B866">
        <v>28</v>
      </c>
      <c r="C866" t="s">
        <v>0</v>
      </c>
      <c r="D866" s="1">
        <v>45517</v>
      </c>
      <c r="E866" t="s">
        <v>19</v>
      </c>
      <c r="F866" t="s">
        <v>12</v>
      </c>
      <c r="G866" t="s">
        <v>3</v>
      </c>
      <c r="H866">
        <v>9</v>
      </c>
      <c r="I866">
        <v>429.33</v>
      </c>
      <c r="J866" t="s">
        <v>10</v>
      </c>
    </row>
    <row r="867" spans="1:10" x14ac:dyDescent="0.35">
      <c r="A867">
        <v>866</v>
      </c>
      <c r="B867">
        <v>81</v>
      </c>
      <c r="C867" t="s">
        <v>5</v>
      </c>
      <c r="D867" s="1">
        <v>45506</v>
      </c>
      <c r="E867" t="s">
        <v>1</v>
      </c>
      <c r="F867" t="s">
        <v>7</v>
      </c>
      <c r="G867" t="s">
        <v>3</v>
      </c>
      <c r="H867">
        <v>5</v>
      </c>
      <c r="I867">
        <v>241.99</v>
      </c>
      <c r="J867" t="s">
        <v>8</v>
      </c>
    </row>
    <row r="868" spans="1:10" x14ac:dyDescent="0.35">
      <c r="A868">
        <v>867</v>
      </c>
      <c r="B868">
        <v>39</v>
      </c>
      <c r="C868" t="s">
        <v>0</v>
      </c>
      <c r="D868" s="1">
        <v>45081</v>
      </c>
      <c r="E868" t="s">
        <v>6</v>
      </c>
      <c r="F868" t="s">
        <v>7</v>
      </c>
      <c r="G868" t="s">
        <v>3</v>
      </c>
      <c r="H868">
        <v>5</v>
      </c>
      <c r="I868">
        <v>432.89</v>
      </c>
      <c r="J868" t="s">
        <v>4</v>
      </c>
    </row>
    <row r="869" spans="1:10" x14ac:dyDescent="0.35">
      <c r="A869">
        <v>868</v>
      </c>
      <c r="B869">
        <v>53</v>
      </c>
      <c r="C869" t="s">
        <v>0</v>
      </c>
      <c r="D869" s="1">
        <v>45576</v>
      </c>
      <c r="E869" t="s">
        <v>19</v>
      </c>
      <c r="F869" t="s">
        <v>17</v>
      </c>
      <c r="G869" t="s">
        <v>13</v>
      </c>
      <c r="H869">
        <v>4</v>
      </c>
      <c r="I869">
        <v>349.69</v>
      </c>
      <c r="J869" t="s">
        <v>8</v>
      </c>
    </row>
    <row r="870" spans="1:10" x14ac:dyDescent="0.35">
      <c r="A870">
        <v>869</v>
      </c>
      <c r="B870">
        <v>15</v>
      </c>
      <c r="C870" t="s">
        <v>5</v>
      </c>
      <c r="D870" s="1">
        <v>45342</v>
      </c>
      <c r="E870" t="s">
        <v>1</v>
      </c>
      <c r="F870" t="s">
        <v>17</v>
      </c>
      <c r="G870" t="s">
        <v>15</v>
      </c>
      <c r="H870">
        <v>3</v>
      </c>
      <c r="I870">
        <v>402.58</v>
      </c>
      <c r="J870" t="s">
        <v>16</v>
      </c>
    </row>
    <row r="871" spans="1:10" x14ac:dyDescent="0.35">
      <c r="A871">
        <v>870</v>
      </c>
      <c r="B871">
        <v>72</v>
      </c>
      <c r="C871" t="s">
        <v>0</v>
      </c>
      <c r="D871" s="1">
        <v>45402</v>
      </c>
      <c r="E871" t="s">
        <v>6</v>
      </c>
      <c r="F871" t="s">
        <v>12</v>
      </c>
      <c r="G871" t="s">
        <v>15</v>
      </c>
      <c r="H871">
        <v>3</v>
      </c>
      <c r="I871">
        <v>96.49</v>
      </c>
      <c r="J871" t="s">
        <v>8</v>
      </c>
    </row>
    <row r="872" spans="1:10" x14ac:dyDescent="0.35">
      <c r="A872">
        <v>871</v>
      </c>
      <c r="B872">
        <v>36</v>
      </c>
      <c r="C872" t="s">
        <v>5</v>
      </c>
      <c r="D872" s="1">
        <v>44956</v>
      </c>
      <c r="E872" t="s">
        <v>11</v>
      </c>
      <c r="F872" t="s">
        <v>14</v>
      </c>
      <c r="G872" t="s">
        <v>20</v>
      </c>
      <c r="H872">
        <v>0</v>
      </c>
      <c r="I872">
        <v>46.56</v>
      </c>
      <c r="J872" t="s">
        <v>4</v>
      </c>
    </row>
    <row r="873" spans="1:10" x14ac:dyDescent="0.35">
      <c r="A873">
        <v>872</v>
      </c>
      <c r="B873">
        <v>39</v>
      </c>
      <c r="C873" t="s">
        <v>5</v>
      </c>
      <c r="D873" s="1">
        <v>45248</v>
      </c>
      <c r="E873" t="s">
        <v>6</v>
      </c>
      <c r="F873" t="s">
        <v>9</v>
      </c>
      <c r="G873" t="s">
        <v>3</v>
      </c>
      <c r="H873">
        <v>5</v>
      </c>
      <c r="I873">
        <v>342.4</v>
      </c>
      <c r="J873" t="s">
        <v>4</v>
      </c>
    </row>
    <row r="874" spans="1:10" x14ac:dyDescent="0.35">
      <c r="A874">
        <v>873</v>
      </c>
      <c r="B874">
        <v>18</v>
      </c>
      <c r="C874" t="s">
        <v>5</v>
      </c>
      <c r="D874" s="1">
        <v>45333</v>
      </c>
      <c r="E874" t="s">
        <v>11</v>
      </c>
      <c r="F874" t="s">
        <v>7</v>
      </c>
      <c r="G874" t="s">
        <v>3</v>
      </c>
      <c r="H874">
        <v>9</v>
      </c>
      <c r="I874">
        <v>372.55</v>
      </c>
      <c r="J874" t="s">
        <v>4</v>
      </c>
    </row>
    <row r="875" spans="1:10" x14ac:dyDescent="0.35">
      <c r="A875">
        <v>874</v>
      </c>
      <c r="B875">
        <v>75</v>
      </c>
      <c r="C875" t="s">
        <v>0</v>
      </c>
      <c r="D875" s="1">
        <v>45461</v>
      </c>
      <c r="E875" t="s">
        <v>6</v>
      </c>
      <c r="F875" t="s">
        <v>7</v>
      </c>
      <c r="G875" t="s">
        <v>3</v>
      </c>
      <c r="H875">
        <v>1</v>
      </c>
      <c r="I875">
        <v>134.28</v>
      </c>
      <c r="J875" t="s">
        <v>4</v>
      </c>
    </row>
    <row r="876" spans="1:10" x14ac:dyDescent="0.35">
      <c r="A876">
        <v>875</v>
      </c>
      <c r="B876">
        <v>75</v>
      </c>
      <c r="C876" t="s">
        <v>0</v>
      </c>
      <c r="D876" s="1">
        <v>45247</v>
      </c>
      <c r="E876" t="s">
        <v>1</v>
      </c>
      <c r="F876" t="s">
        <v>14</v>
      </c>
      <c r="G876" t="s">
        <v>20</v>
      </c>
      <c r="H876">
        <v>3</v>
      </c>
      <c r="I876">
        <v>89.25</v>
      </c>
      <c r="J876" t="s">
        <v>8</v>
      </c>
    </row>
    <row r="877" spans="1:10" x14ac:dyDescent="0.35">
      <c r="A877">
        <v>876</v>
      </c>
      <c r="B877">
        <v>57</v>
      </c>
      <c r="C877" t="s">
        <v>0</v>
      </c>
      <c r="D877" s="1">
        <v>45146</v>
      </c>
      <c r="E877" t="s">
        <v>19</v>
      </c>
      <c r="F877" t="s">
        <v>14</v>
      </c>
      <c r="G877" t="s">
        <v>3</v>
      </c>
      <c r="H877">
        <v>0</v>
      </c>
      <c r="I877">
        <v>255.37</v>
      </c>
      <c r="J877" t="s">
        <v>16</v>
      </c>
    </row>
    <row r="878" spans="1:10" x14ac:dyDescent="0.35">
      <c r="A878">
        <v>877</v>
      </c>
      <c r="B878">
        <v>41</v>
      </c>
      <c r="C878" t="s">
        <v>0</v>
      </c>
      <c r="D878" s="1">
        <v>45643</v>
      </c>
      <c r="E878" t="s">
        <v>6</v>
      </c>
      <c r="F878" t="s">
        <v>2</v>
      </c>
      <c r="G878" t="s">
        <v>3</v>
      </c>
      <c r="H878">
        <v>10</v>
      </c>
      <c r="I878">
        <v>138.25</v>
      </c>
      <c r="J878" t="s">
        <v>16</v>
      </c>
    </row>
    <row r="879" spans="1:10" x14ac:dyDescent="0.35">
      <c r="A879">
        <v>878</v>
      </c>
      <c r="B879">
        <v>61</v>
      </c>
      <c r="C879" t="s">
        <v>0</v>
      </c>
      <c r="D879" s="1">
        <v>45075</v>
      </c>
      <c r="E879" t="s">
        <v>19</v>
      </c>
      <c r="F879" t="s">
        <v>14</v>
      </c>
      <c r="G879" t="s">
        <v>15</v>
      </c>
      <c r="H879">
        <v>10</v>
      </c>
      <c r="I879">
        <v>484.07</v>
      </c>
      <c r="J879" t="s">
        <v>4</v>
      </c>
    </row>
    <row r="880" spans="1:10" x14ac:dyDescent="0.35">
      <c r="A880">
        <v>879</v>
      </c>
      <c r="B880">
        <v>31</v>
      </c>
      <c r="C880" t="s">
        <v>0</v>
      </c>
      <c r="D880" s="1">
        <v>45605</v>
      </c>
      <c r="E880" t="s">
        <v>6</v>
      </c>
      <c r="F880" t="s">
        <v>2</v>
      </c>
      <c r="G880" t="s">
        <v>3</v>
      </c>
      <c r="H880">
        <v>4</v>
      </c>
      <c r="I880">
        <v>326.7</v>
      </c>
      <c r="J880" t="s">
        <v>16</v>
      </c>
    </row>
    <row r="881" spans="1:10" x14ac:dyDescent="0.35">
      <c r="A881">
        <v>880</v>
      </c>
      <c r="B881">
        <v>69</v>
      </c>
      <c r="C881" t="s">
        <v>5</v>
      </c>
      <c r="D881" s="1">
        <v>45628</v>
      </c>
      <c r="E881" t="s">
        <v>6</v>
      </c>
      <c r="F881" t="s">
        <v>2</v>
      </c>
      <c r="G881" t="s">
        <v>3</v>
      </c>
      <c r="H881">
        <v>6</v>
      </c>
      <c r="I881">
        <v>23.78</v>
      </c>
      <c r="J881" t="s">
        <v>10</v>
      </c>
    </row>
    <row r="882" spans="1:10" x14ac:dyDescent="0.35">
      <c r="A882">
        <v>881</v>
      </c>
      <c r="B882">
        <v>12</v>
      </c>
      <c r="C882" t="s">
        <v>5</v>
      </c>
      <c r="D882" s="1">
        <v>45188</v>
      </c>
      <c r="E882" t="s">
        <v>19</v>
      </c>
      <c r="F882" t="s">
        <v>14</v>
      </c>
      <c r="G882" t="s">
        <v>13</v>
      </c>
      <c r="H882">
        <v>2</v>
      </c>
      <c r="I882">
        <v>459.63</v>
      </c>
      <c r="J882" t="s">
        <v>16</v>
      </c>
    </row>
    <row r="883" spans="1:10" x14ac:dyDescent="0.35">
      <c r="A883">
        <v>882</v>
      </c>
      <c r="B883">
        <v>5</v>
      </c>
      <c r="C883" t="s">
        <v>0</v>
      </c>
      <c r="D883" s="1">
        <v>45586</v>
      </c>
      <c r="E883" t="s">
        <v>11</v>
      </c>
      <c r="F883" t="s">
        <v>12</v>
      </c>
      <c r="G883" t="s">
        <v>20</v>
      </c>
      <c r="H883">
        <v>7</v>
      </c>
      <c r="I883">
        <v>373.73</v>
      </c>
      <c r="J883" t="s">
        <v>16</v>
      </c>
    </row>
    <row r="884" spans="1:10" x14ac:dyDescent="0.35">
      <c r="A884">
        <v>883</v>
      </c>
      <c r="B884">
        <v>21</v>
      </c>
      <c r="C884" t="s">
        <v>0</v>
      </c>
      <c r="D884" s="1">
        <v>45359</v>
      </c>
      <c r="E884" t="s">
        <v>11</v>
      </c>
      <c r="F884" t="s">
        <v>2</v>
      </c>
      <c r="G884" t="s">
        <v>3</v>
      </c>
      <c r="H884">
        <v>5</v>
      </c>
      <c r="I884">
        <v>222.02</v>
      </c>
      <c r="J884" t="s">
        <v>16</v>
      </c>
    </row>
    <row r="885" spans="1:10" x14ac:dyDescent="0.35">
      <c r="A885">
        <v>884</v>
      </c>
      <c r="B885">
        <v>4</v>
      </c>
      <c r="C885" t="s">
        <v>5</v>
      </c>
      <c r="D885" s="1">
        <v>45391</v>
      </c>
      <c r="E885" t="s">
        <v>1</v>
      </c>
      <c r="F885" t="s">
        <v>7</v>
      </c>
      <c r="G885" t="s">
        <v>3</v>
      </c>
      <c r="H885">
        <v>10</v>
      </c>
      <c r="I885">
        <v>232.83</v>
      </c>
      <c r="J885" t="s">
        <v>8</v>
      </c>
    </row>
    <row r="886" spans="1:10" x14ac:dyDescent="0.35">
      <c r="A886">
        <v>885</v>
      </c>
      <c r="B886">
        <v>26</v>
      </c>
      <c r="C886" t="s">
        <v>0</v>
      </c>
      <c r="D886" s="1">
        <v>44930</v>
      </c>
      <c r="E886" t="s">
        <v>19</v>
      </c>
      <c r="F886" t="s">
        <v>12</v>
      </c>
      <c r="G886" t="s">
        <v>3</v>
      </c>
      <c r="H886">
        <v>1</v>
      </c>
      <c r="I886">
        <v>73.2</v>
      </c>
      <c r="J886" t="s">
        <v>8</v>
      </c>
    </row>
    <row r="887" spans="1:10" x14ac:dyDescent="0.35">
      <c r="A887">
        <v>886</v>
      </c>
      <c r="B887">
        <v>84</v>
      </c>
      <c r="C887" t="s">
        <v>5</v>
      </c>
      <c r="D887" s="1">
        <v>45455</v>
      </c>
      <c r="E887" t="s">
        <v>6</v>
      </c>
      <c r="F887" t="s">
        <v>7</v>
      </c>
      <c r="G887" t="s">
        <v>3</v>
      </c>
      <c r="H887">
        <v>5</v>
      </c>
      <c r="I887">
        <v>236.72</v>
      </c>
      <c r="J887" t="s">
        <v>8</v>
      </c>
    </row>
    <row r="888" spans="1:10" x14ac:dyDescent="0.35">
      <c r="A888">
        <v>887</v>
      </c>
      <c r="B888">
        <v>76</v>
      </c>
      <c r="C888" t="s">
        <v>0</v>
      </c>
      <c r="D888" s="1">
        <v>45193</v>
      </c>
      <c r="E888" t="s">
        <v>19</v>
      </c>
      <c r="F888" t="s">
        <v>17</v>
      </c>
      <c r="G888" t="s">
        <v>13</v>
      </c>
      <c r="H888">
        <v>1</v>
      </c>
      <c r="I888">
        <v>218.96</v>
      </c>
      <c r="J888" t="s">
        <v>8</v>
      </c>
    </row>
    <row r="889" spans="1:10" x14ac:dyDescent="0.35">
      <c r="A889">
        <v>888</v>
      </c>
      <c r="B889">
        <v>74</v>
      </c>
      <c r="C889" t="s">
        <v>5</v>
      </c>
      <c r="D889" s="1">
        <v>45329</v>
      </c>
      <c r="E889" t="s">
        <v>11</v>
      </c>
      <c r="F889" t="s">
        <v>12</v>
      </c>
      <c r="G889" t="s">
        <v>15</v>
      </c>
      <c r="H889">
        <v>8</v>
      </c>
      <c r="I889">
        <v>330.61</v>
      </c>
      <c r="J889" t="s">
        <v>8</v>
      </c>
    </row>
    <row r="890" spans="1:10" x14ac:dyDescent="0.35">
      <c r="A890">
        <v>889</v>
      </c>
      <c r="B890">
        <v>26</v>
      </c>
      <c r="C890" t="s">
        <v>0</v>
      </c>
      <c r="D890" s="1">
        <v>45018</v>
      </c>
      <c r="E890" t="s">
        <v>1</v>
      </c>
      <c r="F890" t="s">
        <v>12</v>
      </c>
      <c r="G890" t="s">
        <v>15</v>
      </c>
      <c r="H890">
        <v>6</v>
      </c>
      <c r="I890">
        <v>316.64</v>
      </c>
      <c r="J890" t="s">
        <v>16</v>
      </c>
    </row>
    <row r="891" spans="1:10" x14ac:dyDescent="0.35">
      <c r="A891">
        <v>890</v>
      </c>
      <c r="B891">
        <v>48</v>
      </c>
      <c r="C891" t="s">
        <v>5</v>
      </c>
      <c r="D891" s="1">
        <v>45079</v>
      </c>
      <c r="E891" t="s">
        <v>11</v>
      </c>
      <c r="F891" t="s">
        <v>2</v>
      </c>
      <c r="G891" t="s">
        <v>3</v>
      </c>
      <c r="H891">
        <v>0</v>
      </c>
      <c r="I891">
        <v>364.92</v>
      </c>
      <c r="J891" t="s">
        <v>10</v>
      </c>
    </row>
    <row r="892" spans="1:10" x14ac:dyDescent="0.35">
      <c r="A892">
        <v>891</v>
      </c>
      <c r="B892">
        <v>64</v>
      </c>
      <c r="C892" t="s">
        <v>5</v>
      </c>
      <c r="D892" s="1">
        <v>45391</v>
      </c>
      <c r="E892" t="s">
        <v>1</v>
      </c>
      <c r="F892" t="s">
        <v>7</v>
      </c>
      <c r="G892" t="s">
        <v>3</v>
      </c>
      <c r="H892">
        <v>3</v>
      </c>
      <c r="I892">
        <v>111.46</v>
      </c>
      <c r="J892" t="s">
        <v>16</v>
      </c>
    </row>
    <row r="893" spans="1:10" x14ac:dyDescent="0.35">
      <c r="A893">
        <v>892</v>
      </c>
      <c r="B893">
        <v>64</v>
      </c>
      <c r="C893" t="s">
        <v>0</v>
      </c>
      <c r="D893" s="1">
        <v>45221</v>
      </c>
      <c r="E893" t="s">
        <v>1</v>
      </c>
      <c r="F893" t="s">
        <v>7</v>
      </c>
      <c r="G893" t="s">
        <v>3</v>
      </c>
      <c r="H893">
        <v>6</v>
      </c>
      <c r="I893">
        <v>431.04</v>
      </c>
      <c r="J893" t="s">
        <v>8</v>
      </c>
    </row>
    <row r="894" spans="1:10" x14ac:dyDescent="0.35">
      <c r="A894">
        <v>893</v>
      </c>
      <c r="B894">
        <v>25</v>
      </c>
      <c r="C894" t="s">
        <v>0</v>
      </c>
      <c r="D894" s="1">
        <v>45216</v>
      </c>
      <c r="E894" t="s">
        <v>1</v>
      </c>
      <c r="F894" t="s">
        <v>7</v>
      </c>
      <c r="G894" t="s">
        <v>3</v>
      </c>
      <c r="H894">
        <v>6</v>
      </c>
      <c r="I894">
        <v>400.38</v>
      </c>
      <c r="J894" t="s">
        <v>4</v>
      </c>
    </row>
    <row r="895" spans="1:10" x14ac:dyDescent="0.35">
      <c r="A895">
        <v>894</v>
      </c>
      <c r="B895">
        <v>31</v>
      </c>
      <c r="C895" t="s">
        <v>0</v>
      </c>
      <c r="D895" s="1">
        <v>45224</v>
      </c>
      <c r="E895" t="s">
        <v>1</v>
      </c>
      <c r="F895" t="s">
        <v>14</v>
      </c>
      <c r="G895" t="s">
        <v>18</v>
      </c>
      <c r="H895">
        <v>9</v>
      </c>
      <c r="I895">
        <v>348.45</v>
      </c>
      <c r="J895" t="s">
        <v>10</v>
      </c>
    </row>
    <row r="896" spans="1:10" x14ac:dyDescent="0.35">
      <c r="A896">
        <v>895</v>
      </c>
      <c r="B896">
        <v>61</v>
      </c>
      <c r="C896" t="s">
        <v>5</v>
      </c>
      <c r="D896" s="1">
        <v>45014</v>
      </c>
      <c r="E896" t="s">
        <v>19</v>
      </c>
      <c r="F896" t="s">
        <v>2</v>
      </c>
      <c r="G896" t="s">
        <v>3</v>
      </c>
      <c r="H896">
        <v>6</v>
      </c>
      <c r="I896">
        <v>349.69</v>
      </c>
      <c r="J896" t="s">
        <v>10</v>
      </c>
    </row>
    <row r="897" spans="1:10" x14ac:dyDescent="0.35">
      <c r="A897">
        <v>896</v>
      </c>
      <c r="B897">
        <v>77</v>
      </c>
      <c r="C897" t="s">
        <v>0</v>
      </c>
      <c r="D897" s="1">
        <v>45652</v>
      </c>
      <c r="E897" t="s">
        <v>11</v>
      </c>
      <c r="F897" t="s">
        <v>12</v>
      </c>
      <c r="G897" t="s">
        <v>15</v>
      </c>
      <c r="H897">
        <v>8</v>
      </c>
      <c r="I897">
        <v>48.2</v>
      </c>
      <c r="J897" t="s">
        <v>16</v>
      </c>
    </row>
    <row r="898" spans="1:10" x14ac:dyDescent="0.35">
      <c r="A898">
        <v>897</v>
      </c>
      <c r="B898">
        <v>46</v>
      </c>
      <c r="C898" t="s">
        <v>5</v>
      </c>
      <c r="D898" s="1">
        <v>45167</v>
      </c>
      <c r="E898" t="s">
        <v>11</v>
      </c>
      <c r="F898" t="s">
        <v>12</v>
      </c>
      <c r="G898" t="s">
        <v>18</v>
      </c>
      <c r="H898">
        <v>8</v>
      </c>
      <c r="I898">
        <v>317.44</v>
      </c>
      <c r="J898" t="s">
        <v>16</v>
      </c>
    </row>
    <row r="899" spans="1:10" x14ac:dyDescent="0.35">
      <c r="A899">
        <v>898</v>
      </c>
      <c r="B899">
        <v>48</v>
      </c>
      <c r="C899" t="s">
        <v>5</v>
      </c>
      <c r="D899" s="1">
        <v>45331</v>
      </c>
      <c r="E899" t="s">
        <v>11</v>
      </c>
      <c r="F899" t="s">
        <v>7</v>
      </c>
      <c r="G899" t="s">
        <v>3</v>
      </c>
      <c r="H899">
        <v>9</v>
      </c>
      <c r="I899">
        <v>106.1</v>
      </c>
      <c r="J899" t="s">
        <v>8</v>
      </c>
    </row>
    <row r="900" spans="1:10" x14ac:dyDescent="0.35">
      <c r="A900">
        <v>899</v>
      </c>
      <c r="B900">
        <v>44</v>
      </c>
      <c r="C900" t="s">
        <v>0</v>
      </c>
      <c r="D900" s="1">
        <v>45442</v>
      </c>
      <c r="E900" t="s">
        <v>1</v>
      </c>
      <c r="F900" t="s">
        <v>12</v>
      </c>
      <c r="G900" t="s">
        <v>15</v>
      </c>
      <c r="H900">
        <v>5</v>
      </c>
      <c r="I900">
        <v>360.92</v>
      </c>
      <c r="J900" t="s">
        <v>10</v>
      </c>
    </row>
    <row r="901" spans="1:10" x14ac:dyDescent="0.35">
      <c r="A901">
        <v>900</v>
      </c>
      <c r="B901">
        <v>15</v>
      </c>
      <c r="C901" t="s">
        <v>0</v>
      </c>
      <c r="D901" s="1">
        <v>45072</v>
      </c>
      <c r="E901" t="s">
        <v>11</v>
      </c>
      <c r="F901" t="s">
        <v>14</v>
      </c>
      <c r="G901" t="s">
        <v>13</v>
      </c>
      <c r="H901">
        <v>7</v>
      </c>
      <c r="I901">
        <v>438.41</v>
      </c>
      <c r="J901" t="s">
        <v>16</v>
      </c>
    </row>
    <row r="902" spans="1:10" x14ac:dyDescent="0.35">
      <c r="A902">
        <v>901</v>
      </c>
      <c r="B902">
        <v>37</v>
      </c>
      <c r="C902" t="s">
        <v>0</v>
      </c>
      <c r="D902" s="1">
        <v>45296</v>
      </c>
      <c r="E902" t="s">
        <v>19</v>
      </c>
      <c r="F902" t="s">
        <v>12</v>
      </c>
      <c r="G902" t="s">
        <v>3</v>
      </c>
      <c r="H902">
        <v>5</v>
      </c>
      <c r="I902">
        <v>229.17</v>
      </c>
      <c r="J902" t="s">
        <v>8</v>
      </c>
    </row>
    <row r="903" spans="1:10" x14ac:dyDescent="0.35">
      <c r="A903">
        <v>902</v>
      </c>
      <c r="B903">
        <v>63</v>
      </c>
      <c r="C903" t="s">
        <v>5</v>
      </c>
      <c r="D903" s="1">
        <v>45250</v>
      </c>
      <c r="E903" t="s">
        <v>6</v>
      </c>
      <c r="F903" t="s">
        <v>7</v>
      </c>
      <c r="G903" t="s">
        <v>3</v>
      </c>
      <c r="H903">
        <v>0</v>
      </c>
      <c r="I903">
        <v>110.68</v>
      </c>
      <c r="J903" t="s">
        <v>4</v>
      </c>
    </row>
    <row r="904" spans="1:10" x14ac:dyDescent="0.35">
      <c r="A904">
        <v>903</v>
      </c>
      <c r="B904">
        <v>5</v>
      </c>
      <c r="C904" t="s">
        <v>0</v>
      </c>
      <c r="D904" s="1">
        <v>45162</v>
      </c>
      <c r="E904" t="s">
        <v>19</v>
      </c>
      <c r="F904" t="s">
        <v>17</v>
      </c>
      <c r="G904" t="s">
        <v>13</v>
      </c>
      <c r="H904">
        <v>7</v>
      </c>
      <c r="I904">
        <v>229.49</v>
      </c>
      <c r="J904" t="s">
        <v>10</v>
      </c>
    </row>
    <row r="905" spans="1:10" x14ac:dyDescent="0.35">
      <c r="A905">
        <v>904</v>
      </c>
      <c r="B905">
        <v>46</v>
      </c>
      <c r="C905" t="s">
        <v>0</v>
      </c>
      <c r="D905" s="1">
        <v>44968</v>
      </c>
      <c r="E905" t="s">
        <v>6</v>
      </c>
      <c r="F905" t="s">
        <v>12</v>
      </c>
      <c r="G905" t="s">
        <v>20</v>
      </c>
      <c r="H905">
        <v>1</v>
      </c>
      <c r="I905">
        <v>426</v>
      </c>
      <c r="J905" t="s">
        <v>8</v>
      </c>
    </row>
    <row r="906" spans="1:10" x14ac:dyDescent="0.35">
      <c r="A906">
        <v>905</v>
      </c>
      <c r="B906">
        <v>12</v>
      </c>
      <c r="C906" t="s">
        <v>5</v>
      </c>
      <c r="D906" s="1">
        <v>45053</v>
      </c>
      <c r="E906" t="s">
        <v>19</v>
      </c>
      <c r="F906" t="s">
        <v>14</v>
      </c>
      <c r="G906" t="s">
        <v>13</v>
      </c>
      <c r="H906">
        <v>2</v>
      </c>
      <c r="I906">
        <v>379.97</v>
      </c>
      <c r="J906" t="s">
        <v>16</v>
      </c>
    </row>
    <row r="907" spans="1:10" x14ac:dyDescent="0.35">
      <c r="A907">
        <v>906</v>
      </c>
      <c r="B907">
        <v>75</v>
      </c>
      <c r="C907" t="s">
        <v>5</v>
      </c>
      <c r="D907" s="1">
        <v>45503</v>
      </c>
      <c r="E907" t="s">
        <v>11</v>
      </c>
      <c r="F907" t="s">
        <v>7</v>
      </c>
      <c r="G907" t="s">
        <v>3</v>
      </c>
      <c r="H907">
        <v>8</v>
      </c>
      <c r="I907">
        <v>388.09</v>
      </c>
      <c r="J907" t="s">
        <v>8</v>
      </c>
    </row>
    <row r="908" spans="1:10" x14ac:dyDescent="0.35">
      <c r="A908">
        <v>907</v>
      </c>
      <c r="B908">
        <v>32</v>
      </c>
      <c r="C908" t="s">
        <v>0</v>
      </c>
      <c r="D908" s="1">
        <v>45353</v>
      </c>
      <c r="E908" t="s">
        <v>11</v>
      </c>
      <c r="F908" t="s">
        <v>2</v>
      </c>
      <c r="G908" t="s">
        <v>3</v>
      </c>
      <c r="H908">
        <v>5</v>
      </c>
      <c r="I908">
        <v>32.46</v>
      </c>
      <c r="J908" t="s">
        <v>4</v>
      </c>
    </row>
    <row r="909" spans="1:10" x14ac:dyDescent="0.35">
      <c r="A909">
        <v>908</v>
      </c>
      <c r="B909">
        <v>76</v>
      </c>
      <c r="C909" t="s">
        <v>5</v>
      </c>
      <c r="D909" s="1">
        <v>45330</v>
      </c>
      <c r="E909" t="s">
        <v>19</v>
      </c>
      <c r="F909" t="s">
        <v>14</v>
      </c>
      <c r="G909" t="s">
        <v>13</v>
      </c>
      <c r="H909">
        <v>0</v>
      </c>
      <c r="I909">
        <v>58.91</v>
      </c>
      <c r="J909" t="s">
        <v>10</v>
      </c>
    </row>
    <row r="910" spans="1:10" x14ac:dyDescent="0.35">
      <c r="A910">
        <v>909</v>
      </c>
      <c r="B910">
        <v>35</v>
      </c>
      <c r="C910" t="s">
        <v>5</v>
      </c>
      <c r="D910" s="1">
        <v>45391</v>
      </c>
      <c r="E910" t="s">
        <v>19</v>
      </c>
      <c r="F910" t="s">
        <v>7</v>
      </c>
      <c r="G910" t="s">
        <v>3</v>
      </c>
      <c r="H910">
        <v>0</v>
      </c>
      <c r="I910">
        <v>334.96</v>
      </c>
      <c r="J910" t="s">
        <v>10</v>
      </c>
    </row>
    <row r="911" spans="1:10" x14ac:dyDescent="0.35">
      <c r="A911">
        <v>910</v>
      </c>
      <c r="B911">
        <v>73</v>
      </c>
      <c r="C911" t="s">
        <v>5</v>
      </c>
      <c r="D911" s="1">
        <v>45259</v>
      </c>
      <c r="E911" t="s">
        <v>1</v>
      </c>
      <c r="F911" t="s">
        <v>7</v>
      </c>
      <c r="G911" t="s">
        <v>3</v>
      </c>
      <c r="H911">
        <v>0</v>
      </c>
      <c r="I911">
        <v>404.75</v>
      </c>
      <c r="J911" t="s">
        <v>16</v>
      </c>
    </row>
    <row r="912" spans="1:10" x14ac:dyDescent="0.35">
      <c r="A912">
        <v>911</v>
      </c>
      <c r="B912">
        <v>10</v>
      </c>
      <c r="C912" t="s">
        <v>0</v>
      </c>
      <c r="D912" s="1">
        <v>45257</v>
      </c>
      <c r="E912" t="s">
        <v>11</v>
      </c>
      <c r="F912" t="s">
        <v>2</v>
      </c>
      <c r="G912" t="s">
        <v>3</v>
      </c>
      <c r="H912">
        <v>6</v>
      </c>
      <c r="I912">
        <v>142.47999999999999</v>
      </c>
      <c r="J912" t="s">
        <v>8</v>
      </c>
    </row>
    <row r="913" spans="1:10" x14ac:dyDescent="0.35">
      <c r="A913">
        <v>912</v>
      </c>
      <c r="B913">
        <v>3</v>
      </c>
      <c r="C913" t="s">
        <v>5</v>
      </c>
      <c r="D913" s="1">
        <v>45335</v>
      </c>
      <c r="E913" t="s">
        <v>1</v>
      </c>
      <c r="F913" t="s">
        <v>2</v>
      </c>
      <c r="G913" t="s">
        <v>3</v>
      </c>
      <c r="H913">
        <v>6</v>
      </c>
      <c r="I913">
        <v>394.16</v>
      </c>
      <c r="J913" t="s">
        <v>16</v>
      </c>
    </row>
    <row r="914" spans="1:10" x14ac:dyDescent="0.35">
      <c r="A914">
        <v>913</v>
      </c>
      <c r="B914">
        <v>20</v>
      </c>
      <c r="C914" t="s">
        <v>5</v>
      </c>
      <c r="D914" s="1">
        <v>45589</v>
      </c>
      <c r="E914" t="s">
        <v>19</v>
      </c>
      <c r="F914" t="s">
        <v>7</v>
      </c>
      <c r="G914" t="s">
        <v>3</v>
      </c>
      <c r="H914">
        <v>7</v>
      </c>
      <c r="I914">
        <v>404.53</v>
      </c>
      <c r="J914" t="s">
        <v>16</v>
      </c>
    </row>
    <row r="915" spans="1:10" x14ac:dyDescent="0.35">
      <c r="A915">
        <v>914</v>
      </c>
      <c r="B915">
        <v>17</v>
      </c>
      <c r="C915" t="s">
        <v>0</v>
      </c>
      <c r="D915" s="1">
        <v>45628</v>
      </c>
      <c r="E915" t="s">
        <v>11</v>
      </c>
      <c r="F915" t="s">
        <v>9</v>
      </c>
      <c r="G915" t="s">
        <v>3</v>
      </c>
      <c r="H915">
        <v>5</v>
      </c>
      <c r="I915">
        <v>266.07</v>
      </c>
      <c r="J915" t="s">
        <v>10</v>
      </c>
    </row>
    <row r="916" spans="1:10" x14ac:dyDescent="0.35">
      <c r="A916">
        <v>915</v>
      </c>
      <c r="B916">
        <v>61</v>
      </c>
      <c r="C916" t="s">
        <v>0</v>
      </c>
      <c r="D916" s="1">
        <v>45383</v>
      </c>
      <c r="E916" t="s">
        <v>6</v>
      </c>
      <c r="F916" t="s">
        <v>12</v>
      </c>
      <c r="G916" t="s">
        <v>15</v>
      </c>
      <c r="H916">
        <v>6</v>
      </c>
      <c r="I916">
        <v>409.28</v>
      </c>
      <c r="J916" t="s">
        <v>8</v>
      </c>
    </row>
    <row r="917" spans="1:10" x14ac:dyDescent="0.35">
      <c r="A917">
        <v>916</v>
      </c>
      <c r="B917">
        <v>55</v>
      </c>
      <c r="C917" t="s">
        <v>5</v>
      </c>
      <c r="D917" s="1">
        <v>45371</v>
      </c>
      <c r="E917" t="s">
        <v>11</v>
      </c>
      <c r="F917" t="s">
        <v>7</v>
      </c>
      <c r="G917" t="s">
        <v>3</v>
      </c>
      <c r="H917">
        <v>8</v>
      </c>
      <c r="I917">
        <v>184.04</v>
      </c>
      <c r="J917" t="s">
        <v>10</v>
      </c>
    </row>
    <row r="918" spans="1:10" x14ac:dyDescent="0.35">
      <c r="A918">
        <v>917</v>
      </c>
      <c r="B918">
        <v>83</v>
      </c>
      <c r="C918" t="s">
        <v>5</v>
      </c>
      <c r="D918" s="1">
        <v>45619</v>
      </c>
      <c r="E918" t="s">
        <v>6</v>
      </c>
      <c r="F918" t="s">
        <v>17</v>
      </c>
      <c r="G918" t="s">
        <v>3</v>
      </c>
      <c r="H918">
        <v>10</v>
      </c>
      <c r="I918">
        <v>330.67</v>
      </c>
      <c r="J918" t="s">
        <v>4</v>
      </c>
    </row>
    <row r="919" spans="1:10" x14ac:dyDescent="0.35">
      <c r="A919">
        <v>918</v>
      </c>
      <c r="B919">
        <v>56</v>
      </c>
      <c r="C919" t="s">
        <v>5</v>
      </c>
      <c r="D919" s="1">
        <v>45224</v>
      </c>
      <c r="E919" t="s">
        <v>6</v>
      </c>
      <c r="F919" t="s">
        <v>12</v>
      </c>
      <c r="G919" t="s">
        <v>18</v>
      </c>
      <c r="H919">
        <v>2</v>
      </c>
      <c r="I919">
        <v>492.41</v>
      </c>
      <c r="J919" t="s">
        <v>16</v>
      </c>
    </row>
    <row r="920" spans="1:10" x14ac:dyDescent="0.35">
      <c r="A920">
        <v>919</v>
      </c>
      <c r="B920">
        <v>55</v>
      </c>
      <c r="C920" t="s">
        <v>0</v>
      </c>
      <c r="D920" s="1">
        <v>45181</v>
      </c>
      <c r="E920" t="s">
        <v>11</v>
      </c>
      <c r="F920" t="s">
        <v>9</v>
      </c>
      <c r="G920" t="s">
        <v>3</v>
      </c>
      <c r="H920">
        <v>8</v>
      </c>
      <c r="I920">
        <v>56.74</v>
      </c>
      <c r="J920" t="s">
        <v>4</v>
      </c>
    </row>
    <row r="921" spans="1:10" x14ac:dyDescent="0.35">
      <c r="A921">
        <v>920</v>
      </c>
      <c r="B921">
        <v>66</v>
      </c>
      <c r="C921" t="s">
        <v>0</v>
      </c>
      <c r="D921" s="1">
        <v>45452</v>
      </c>
      <c r="E921" t="s">
        <v>6</v>
      </c>
      <c r="F921" t="s">
        <v>2</v>
      </c>
      <c r="G921" t="s">
        <v>3</v>
      </c>
      <c r="H921">
        <v>1</v>
      </c>
      <c r="I921">
        <v>243.04</v>
      </c>
      <c r="J921" t="s">
        <v>16</v>
      </c>
    </row>
    <row r="922" spans="1:10" x14ac:dyDescent="0.35">
      <c r="A922">
        <v>921</v>
      </c>
      <c r="B922">
        <v>75</v>
      </c>
      <c r="C922" t="s">
        <v>5</v>
      </c>
      <c r="D922" s="1">
        <v>45290</v>
      </c>
      <c r="E922" t="s">
        <v>11</v>
      </c>
      <c r="F922" t="s">
        <v>14</v>
      </c>
      <c r="G922" t="s">
        <v>15</v>
      </c>
      <c r="H922">
        <v>10</v>
      </c>
      <c r="I922">
        <v>242.18</v>
      </c>
      <c r="J922" t="s">
        <v>8</v>
      </c>
    </row>
    <row r="923" spans="1:10" x14ac:dyDescent="0.35">
      <c r="A923">
        <v>922</v>
      </c>
      <c r="B923">
        <v>11</v>
      </c>
      <c r="C923" t="s">
        <v>0</v>
      </c>
      <c r="D923" s="1">
        <v>45329</v>
      </c>
      <c r="E923" t="s">
        <v>19</v>
      </c>
      <c r="F923" t="s">
        <v>2</v>
      </c>
      <c r="G923" t="s">
        <v>3</v>
      </c>
      <c r="H923">
        <v>5</v>
      </c>
      <c r="I923">
        <v>301.86</v>
      </c>
      <c r="J923" t="s">
        <v>10</v>
      </c>
    </row>
    <row r="924" spans="1:10" x14ac:dyDescent="0.35">
      <c r="A924">
        <v>923</v>
      </c>
      <c r="B924">
        <v>80</v>
      </c>
      <c r="C924" t="s">
        <v>0</v>
      </c>
      <c r="D924" s="1">
        <v>45613</v>
      </c>
      <c r="E924" t="s">
        <v>19</v>
      </c>
      <c r="F924" t="s">
        <v>12</v>
      </c>
      <c r="G924" t="s">
        <v>13</v>
      </c>
      <c r="H924">
        <v>3</v>
      </c>
      <c r="I924">
        <v>108.84</v>
      </c>
      <c r="J924" t="s">
        <v>16</v>
      </c>
    </row>
    <row r="925" spans="1:10" x14ac:dyDescent="0.35">
      <c r="A925">
        <v>924</v>
      </c>
      <c r="B925">
        <v>56</v>
      </c>
      <c r="C925" t="s">
        <v>5</v>
      </c>
      <c r="D925" s="1">
        <v>45616</v>
      </c>
      <c r="E925" t="s">
        <v>11</v>
      </c>
      <c r="F925" t="s">
        <v>2</v>
      </c>
      <c r="G925" t="s">
        <v>3</v>
      </c>
      <c r="H925">
        <v>6</v>
      </c>
      <c r="I925">
        <v>76.010000000000005</v>
      </c>
      <c r="J925" t="s">
        <v>8</v>
      </c>
    </row>
    <row r="926" spans="1:10" x14ac:dyDescent="0.35">
      <c r="A926">
        <v>925</v>
      </c>
      <c r="B926">
        <v>59</v>
      </c>
      <c r="C926" t="s">
        <v>0</v>
      </c>
      <c r="D926" s="1">
        <v>45598</v>
      </c>
      <c r="E926" t="s">
        <v>6</v>
      </c>
      <c r="F926" t="s">
        <v>12</v>
      </c>
      <c r="G926" t="s">
        <v>18</v>
      </c>
      <c r="H926">
        <v>9</v>
      </c>
      <c r="I926">
        <v>410.3</v>
      </c>
      <c r="J926" t="s">
        <v>16</v>
      </c>
    </row>
    <row r="927" spans="1:10" x14ac:dyDescent="0.35">
      <c r="A927">
        <v>926</v>
      </c>
      <c r="B927">
        <v>51</v>
      </c>
      <c r="C927" t="s">
        <v>0</v>
      </c>
      <c r="D927" s="1">
        <v>45634</v>
      </c>
      <c r="E927" t="s">
        <v>11</v>
      </c>
      <c r="F927" t="s">
        <v>7</v>
      </c>
      <c r="G927" t="s">
        <v>3</v>
      </c>
      <c r="H927">
        <v>2</v>
      </c>
      <c r="I927">
        <v>84.85</v>
      </c>
      <c r="J927" t="s">
        <v>8</v>
      </c>
    </row>
    <row r="928" spans="1:10" x14ac:dyDescent="0.35">
      <c r="A928">
        <v>927</v>
      </c>
      <c r="B928">
        <v>25</v>
      </c>
      <c r="C928" t="s">
        <v>5</v>
      </c>
      <c r="D928" s="1">
        <v>45041</v>
      </c>
      <c r="E928" t="s">
        <v>1</v>
      </c>
      <c r="F928" t="s">
        <v>2</v>
      </c>
      <c r="G928" t="s">
        <v>3</v>
      </c>
      <c r="H928">
        <v>7</v>
      </c>
      <c r="I928">
        <v>331.34</v>
      </c>
      <c r="J928" t="s">
        <v>8</v>
      </c>
    </row>
    <row r="929" spans="1:10" x14ac:dyDescent="0.35">
      <c r="A929">
        <v>928</v>
      </c>
      <c r="B929">
        <v>69</v>
      </c>
      <c r="C929" t="s">
        <v>5</v>
      </c>
      <c r="D929" s="1">
        <v>45373</v>
      </c>
      <c r="E929" t="s">
        <v>11</v>
      </c>
      <c r="F929" t="s">
        <v>7</v>
      </c>
      <c r="G929" t="s">
        <v>3</v>
      </c>
      <c r="H929">
        <v>4</v>
      </c>
      <c r="I929">
        <v>389.47</v>
      </c>
      <c r="J929" t="s">
        <v>8</v>
      </c>
    </row>
    <row r="930" spans="1:10" x14ac:dyDescent="0.35">
      <c r="A930">
        <v>929</v>
      </c>
      <c r="B930">
        <v>3</v>
      </c>
      <c r="C930" t="s">
        <v>5</v>
      </c>
      <c r="D930" s="1">
        <v>45412</v>
      </c>
      <c r="E930" t="s">
        <v>1</v>
      </c>
      <c r="F930" t="s">
        <v>12</v>
      </c>
      <c r="G930" t="s">
        <v>13</v>
      </c>
      <c r="H930">
        <v>7</v>
      </c>
      <c r="I930">
        <v>482.66</v>
      </c>
      <c r="J930" t="s">
        <v>10</v>
      </c>
    </row>
    <row r="931" spans="1:10" x14ac:dyDescent="0.35">
      <c r="A931">
        <v>930</v>
      </c>
      <c r="B931">
        <v>75</v>
      </c>
      <c r="C931" t="s">
        <v>5</v>
      </c>
      <c r="D931" s="1">
        <v>44947</v>
      </c>
      <c r="E931" t="s">
        <v>1</v>
      </c>
      <c r="F931" t="s">
        <v>12</v>
      </c>
      <c r="G931" t="s">
        <v>18</v>
      </c>
      <c r="H931">
        <v>9</v>
      </c>
      <c r="I931">
        <v>418.14</v>
      </c>
      <c r="J931" t="s">
        <v>10</v>
      </c>
    </row>
    <row r="932" spans="1:10" x14ac:dyDescent="0.35">
      <c r="A932">
        <v>931</v>
      </c>
      <c r="B932">
        <v>2</v>
      </c>
      <c r="C932" t="s">
        <v>5</v>
      </c>
      <c r="D932" s="1">
        <v>44979</v>
      </c>
      <c r="E932" t="s">
        <v>6</v>
      </c>
      <c r="F932" t="s">
        <v>14</v>
      </c>
      <c r="G932" t="s">
        <v>20</v>
      </c>
      <c r="H932">
        <v>7</v>
      </c>
      <c r="I932">
        <v>373.8</v>
      </c>
      <c r="J932" t="s">
        <v>16</v>
      </c>
    </row>
    <row r="933" spans="1:10" x14ac:dyDescent="0.35">
      <c r="A933">
        <v>932</v>
      </c>
      <c r="B933">
        <v>52</v>
      </c>
      <c r="C933" t="s">
        <v>0</v>
      </c>
      <c r="D933" s="1">
        <v>44964</v>
      </c>
      <c r="E933" t="s">
        <v>6</v>
      </c>
      <c r="F933" t="s">
        <v>12</v>
      </c>
      <c r="G933" t="s">
        <v>13</v>
      </c>
      <c r="H933">
        <v>0</v>
      </c>
      <c r="I933">
        <v>273.58999999999997</v>
      </c>
      <c r="J933" t="s">
        <v>10</v>
      </c>
    </row>
    <row r="934" spans="1:10" x14ac:dyDescent="0.35">
      <c r="A934">
        <v>933</v>
      </c>
      <c r="B934">
        <v>71</v>
      </c>
      <c r="C934" t="s">
        <v>5</v>
      </c>
      <c r="D934" s="1">
        <v>45517</v>
      </c>
      <c r="E934" t="s">
        <v>19</v>
      </c>
      <c r="F934" t="s">
        <v>14</v>
      </c>
      <c r="G934" t="s">
        <v>20</v>
      </c>
      <c r="H934">
        <v>7</v>
      </c>
      <c r="I934">
        <v>76.13</v>
      </c>
      <c r="J934" t="s">
        <v>16</v>
      </c>
    </row>
    <row r="935" spans="1:10" x14ac:dyDescent="0.35">
      <c r="A935">
        <v>934</v>
      </c>
      <c r="B935">
        <v>56</v>
      </c>
      <c r="C935" t="s">
        <v>5</v>
      </c>
      <c r="D935" s="1">
        <v>45386</v>
      </c>
      <c r="E935" t="s">
        <v>1</v>
      </c>
      <c r="F935" t="s">
        <v>7</v>
      </c>
      <c r="G935" t="s">
        <v>3</v>
      </c>
      <c r="H935">
        <v>4</v>
      </c>
      <c r="I935">
        <v>368.58</v>
      </c>
      <c r="J935" t="s">
        <v>10</v>
      </c>
    </row>
    <row r="936" spans="1:10" x14ac:dyDescent="0.35">
      <c r="A936">
        <v>935</v>
      </c>
      <c r="B936">
        <v>30</v>
      </c>
      <c r="C936" t="s">
        <v>5</v>
      </c>
      <c r="D936" s="1">
        <v>45279</v>
      </c>
      <c r="E936" t="s">
        <v>19</v>
      </c>
      <c r="F936" t="s">
        <v>12</v>
      </c>
      <c r="G936" t="s">
        <v>3</v>
      </c>
      <c r="H936">
        <v>10</v>
      </c>
      <c r="I936">
        <v>244.86</v>
      </c>
      <c r="J936" t="s">
        <v>16</v>
      </c>
    </row>
    <row r="937" spans="1:10" x14ac:dyDescent="0.35">
      <c r="A937">
        <v>936</v>
      </c>
      <c r="B937">
        <v>54</v>
      </c>
      <c r="C937" t="s">
        <v>0</v>
      </c>
      <c r="D937" s="1">
        <v>45655</v>
      </c>
      <c r="E937" t="s">
        <v>6</v>
      </c>
      <c r="F937" t="s">
        <v>12</v>
      </c>
      <c r="G937" t="s">
        <v>13</v>
      </c>
      <c r="H937">
        <v>9</v>
      </c>
      <c r="I937">
        <v>119.46</v>
      </c>
      <c r="J937" t="s">
        <v>4</v>
      </c>
    </row>
    <row r="938" spans="1:10" x14ac:dyDescent="0.35">
      <c r="A938">
        <v>937</v>
      </c>
      <c r="B938">
        <v>17</v>
      </c>
      <c r="C938" t="s">
        <v>5</v>
      </c>
      <c r="D938" s="1">
        <v>45610</v>
      </c>
      <c r="E938" t="s">
        <v>1</v>
      </c>
      <c r="F938" t="s">
        <v>12</v>
      </c>
      <c r="G938" t="s">
        <v>13</v>
      </c>
      <c r="H938">
        <v>9</v>
      </c>
      <c r="I938">
        <v>256.25</v>
      </c>
      <c r="J938" t="s">
        <v>10</v>
      </c>
    </row>
    <row r="939" spans="1:10" x14ac:dyDescent="0.35">
      <c r="A939">
        <v>938</v>
      </c>
      <c r="B939">
        <v>31</v>
      </c>
      <c r="C939" t="s">
        <v>5</v>
      </c>
      <c r="D939" s="1">
        <v>45432</v>
      </c>
      <c r="E939" t="s">
        <v>11</v>
      </c>
      <c r="F939" t="s">
        <v>14</v>
      </c>
      <c r="G939" t="s">
        <v>15</v>
      </c>
      <c r="H939">
        <v>5</v>
      </c>
      <c r="I939">
        <v>442.83</v>
      </c>
      <c r="J939" t="s">
        <v>16</v>
      </c>
    </row>
    <row r="940" spans="1:10" x14ac:dyDescent="0.35">
      <c r="A940">
        <v>939</v>
      </c>
      <c r="B940">
        <v>23</v>
      </c>
      <c r="C940" t="s">
        <v>5</v>
      </c>
      <c r="D940" s="1">
        <v>45620</v>
      </c>
      <c r="E940" t="s">
        <v>11</v>
      </c>
      <c r="F940" t="s">
        <v>17</v>
      </c>
      <c r="G940" t="s">
        <v>18</v>
      </c>
      <c r="H940">
        <v>6</v>
      </c>
      <c r="I940">
        <v>74.709999999999994</v>
      </c>
      <c r="J940" t="s">
        <v>8</v>
      </c>
    </row>
    <row r="941" spans="1:10" x14ac:dyDescent="0.35">
      <c r="A941">
        <v>940</v>
      </c>
      <c r="B941">
        <v>29</v>
      </c>
      <c r="C941" t="s">
        <v>0</v>
      </c>
      <c r="D941" s="1">
        <v>45050</v>
      </c>
      <c r="E941" t="s">
        <v>19</v>
      </c>
      <c r="F941" t="s">
        <v>9</v>
      </c>
      <c r="G941" t="s">
        <v>3</v>
      </c>
      <c r="H941">
        <v>5</v>
      </c>
      <c r="I941">
        <v>396.75</v>
      </c>
      <c r="J941" t="s">
        <v>4</v>
      </c>
    </row>
    <row r="942" spans="1:10" x14ac:dyDescent="0.35">
      <c r="A942">
        <v>941</v>
      </c>
      <c r="B942">
        <v>20</v>
      </c>
      <c r="C942" t="s">
        <v>5</v>
      </c>
      <c r="D942" s="1">
        <v>45497</v>
      </c>
      <c r="E942" t="s">
        <v>11</v>
      </c>
      <c r="F942" t="s">
        <v>14</v>
      </c>
      <c r="G942" t="s">
        <v>20</v>
      </c>
      <c r="H942">
        <v>7</v>
      </c>
      <c r="I942">
        <v>482.07</v>
      </c>
      <c r="J942" t="s">
        <v>4</v>
      </c>
    </row>
    <row r="943" spans="1:10" x14ac:dyDescent="0.35">
      <c r="A943">
        <v>942</v>
      </c>
      <c r="B943">
        <v>79</v>
      </c>
      <c r="C943" t="s">
        <v>5</v>
      </c>
      <c r="D943" s="1">
        <v>45035</v>
      </c>
      <c r="E943" t="s">
        <v>11</v>
      </c>
      <c r="F943" t="s">
        <v>9</v>
      </c>
      <c r="G943" t="s">
        <v>3</v>
      </c>
      <c r="H943">
        <v>8</v>
      </c>
      <c r="I943">
        <v>70.599999999999994</v>
      </c>
      <c r="J943" t="s">
        <v>4</v>
      </c>
    </row>
    <row r="944" spans="1:10" x14ac:dyDescent="0.35">
      <c r="A944">
        <v>943</v>
      </c>
      <c r="B944">
        <v>21</v>
      </c>
      <c r="C944" t="s">
        <v>0</v>
      </c>
      <c r="D944" s="1">
        <v>45137</v>
      </c>
      <c r="E944" t="s">
        <v>6</v>
      </c>
      <c r="F944" t="s">
        <v>14</v>
      </c>
      <c r="G944" t="s">
        <v>3</v>
      </c>
      <c r="H944">
        <v>7</v>
      </c>
      <c r="I944">
        <v>371.62</v>
      </c>
      <c r="J944" t="s">
        <v>4</v>
      </c>
    </row>
    <row r="945" spans="1:10" x14ac:dyDescent="0.35">
      <c r="A945">
        <v>944</v>
      </c>
      <c r="B945">
        <v>47</v>
      </c>
      <c r="C945" t="s">
        <v>0</v>
      </c>
      <c r="D945" s="1">
        <v>45084</v>
      </c>
      <c r="E945" t="s">
        <v>1</v>
      </c>
      <c r="F945" t="s">
        <v>7</v>
      </c>
      <c r="G945" t="s">
        <v>3</v>
      </c>
      <c r="H945">
        <v>1</v>
      </c>
      <c r="I945">
        <v>427.33</v>
      </c>
      <c r="J945" t="s">
        <v>10</v>
      </c>
    </row>
    <row r="946" spans="1:10" x14ac:dyDescent="0.35">
      <c r="A946">
        <v>945</v>
      </c>
      <c r="B946">
        <v>32</v>
      </c>
      <c r="C946" t="s">
        <v>0</v>
      </c>
      <c r="D946" s="1">
        <v>45352</v>
      </c>
      <c r="E946" t="s">
        <v>19</v>
      </c>
      <c r="F946" t="s">
        <v>2</v>
      </c>
      <c r="G946" t="s">
        <v>3</v>
      </c>
      <c r="H946">
        <v>4</v>
      </c>
      <c r="I946">
        <v>262.41000000000003</v>
      </c>
      <c r="J946" t="s">
        <v>4</v>
      </c>
    </row>
    <row r="947" spans="1:10" x14ac:dyDescent="0.35">
      <c r="A947">
        <v>946</v>
      </c>
      <c r="B947">
        <v>54</v>
      </c>
      <c r="C947" t="s">
        <v>0</v>
      </c>
      <c r="D947" s="1">
        <v>45199</v>
      </c>
      <c r="E947" t="s">
        <v>1</v>
      </c>
      <c r="F947" t="s">
        <v>14</v>
      </c>
      <c r="G947" t="s">
        <v>13</v>
      </c>
      <c r="H947">
        <v>8</v>
      </c>
      <c r="I947">
        <v>222.43</v>
      </c>
      <c r="J947" t="s">
        <v>8</v>
      </c>
    </row>
    <row r="948" spans="1:10" x14ac:dyDescent="0.35">
      <c r="A948">
        <v>947</v>
      </c>
      <c r="B948">
        <v>53</v>
      </c>
      <c r="C948" t="s">
        <v>0</v>
      </c>
      <c r="D948" s="1">
        <v>45068</v>
      </c>
      <c r="E948" t="s">
        <v>6</v>
      </c>
      <c r="F948" t="s">
        <v>12</v>
      </c>
      <c r="G948" t="s">
        <v>3</v>
      </c>
      <c r="H948">
        <v>10</v>
      </c>
      <c r="I948">
        <v>193.65</v>
      </c>
      <c r="J948" t="s">
        <v>4</v>
      </c>
    </row>
    <row r="949" spans="1:10" x14ac:dyDescent="0.35">
      <c r="A949">
        <v>948</v>
      </c>
      <c r="B949">
        <v>2</v>
      </c>
      <c r="C949" t="s">
        <v>5</v>
      </c>
      <c r="D949" s="1">
        <v>45380</v>
      </c>
      <c r="E949" t="s">
        <v>11</v>
      </c>
      <c r="F949" t="s">
        <v>17</v>
      </c>
      <c r="G949" t="s">
        <v>18</v>
      </c>
      <c r="H949">
        <v>5</v>
      </c>
      <c r="I949">
        <v>212.79</v>
      </c>
      <c r="J949" t="s">
        <v>8</v>
      </c>
    </row>
    <row r="950" spans="1:10" x14ac:dyDescent="0.35">
      <c r="A950">
        <v>949</v>
      </c>
      <c r="B950">
        <v>51</v>
      </c>
      <c r="C950" t="s">
        <v>5</v>
      </c>
      <c r="D950" s="1">
        <v>45371</v>
      </c>
      <c r="E950" t="s">
        <v>1</v>
      </c>
      <c r="F950" t="s">
        <v>2</v>
      </c>
      <c r="G950" t="s">
        <v>3</v>
      </c>
      <c r="H950">
        <v>9</v>
      </c>
      <c r="I950">
        <v>47.75</v>
      </c>
      <c r="J950" t="s">
        <v>16</v>
      </c>
    </row>
    <row r="951" spans="1:10" x14ac:dyDescent="0.35">
      <c r="A951">
        <v>950</v>
      </c>
      <c r="B951">
        <v>71</v>
      </c>
      <c r="C951" t="s">
        <v>0</v>
      </c>
      <c r="D951" s="1">
        <v>45356</v>
      </c>
      <c r="E951" t="s">
        <v>19</v>
      </c>
      <c r="F951" t="s">
        <v>12</v>
      </c>
      <c r="G951" t="s">
        <v>18</v>
      </c>
      <c r="H951">
        <v>0</v>
      </c>
      <c r="I951">
        <v>416.96</v>
      </c>
      <c r="J951" t="s">
        <v>8</v>
      </c>
    </row>
    <row r="952" spans="1:10" x14ac:dyDescent="0.35">
      <c r="A952">
        <v>951</v>
      </c>
      <c r="B952">
        <v>58</v>
      </c>
      <c r="C952" t="s">
        <v>5</v>
      </c>
      <c r="D952" s="1">
        <v>45644</v>
      </c>
      <c r="E952" t="s">
        <v>6</v>
      </c>
      <c r="F952" t="s">
        <v>12</v>
      </c>
      <c r="G952" t="s">
        <v>18</v>
      </c>
      <c r="H952">
        <v>10</v>
      </c>
      <c r="I952">
        <v>214.16</v>
      </c>
      <c r="J952" t="s">
        <v>8</v>
      </c>
    </row>
    <row r="953" spans="1:10" x14ac:dyDescent="0.35">
      <c r="A953">
        <v>952</v>
      </c>
      <c r="B953">
        <v>5</v>
      </c>
      <c r="C953" t="s">
        <v>0</v>
      </c>
      <c r="D953" s="1">
        <v>45235</v>
      </c>
      <c r="E953" t="s">
        <v>6</v>
      </c>
      <c r="F953" t="s">
        <v>2</v>
      </c>
      <c r="G953" t="s">
        <v>3</v>
      </c>
      <c r="H953">
        <v>2</v>
      </c>
      <c r="I953">
        <v>269.83</v>
      </c>
      <c r="J953" t="s">
        <v>16</v>
      </c>
    </row>
    <row r="954" spans="1:10" x14ac:dyDescent="0.35">
      <c r="A954">
        <v>953</v>
      </c>
      <c r="B954">
        <v>66</v>
      </c>
      <c r="C954" t="s">
        <v>0</v>
      </c>
      <c r="D954" s="1">
        <v>45145</v>
      </c>
      <c r="E954" t="s">
        <v>19</v>
      </c>
      <c r="F954" t="s">
        <v>2</v>
      </c>
      <c r="G954" t="s">
        <v>3</v>
      </c>
      <c r="H954">
        <v>10</v>
      </c>
      <c r="I954">
        <v>96.81</v>
      </c>
      <c r="J954" t="s">
        <v>4</v>
      </c>
    </row>
    <row r="955" spans="1:10" x14ac:dyDescent="0.35">
      <c r="A955">
        <v>954</v>
      </c>
      <c r="B955">
        <v>34</v>
      </c>
      <c r="C955" t="s">
        <v>5</v>
      </c>
      <c r="D955" s="1">
        <v>45479</v>
      </c>
      <c r="E955" t="s">
        <v>19</v>
      </c>
      <c r="F955" t="s">
        <v>9</v>
      </c>
      <c r="G955" t="s">
        <v>3</v>
      </c>
      <c r="H955">
        <v>6</v>
      </c>
      <c r="I955">
        <v>493.74</v>
      </c>
      <c r="J955" t="s">
        <v>4</v>
      </c>
    </row>
    <row r="956" spans="1:10" x14ac:dyDescent="0.35">
      <c r="A956">
        <v>955</v>
      </c>
      <c r="B956">
        <v>34</v>
      </c>
      <c r="C956" t="s">
        <v>0</v>
      </c>
      <c r="D956" s="1">
        <v>44988</v>
      </c>
      <c r="E956" t="s">
        <v>11</v>
      </c>
      <c r="F956" t="s">
        <v>14</v>
      </c>
      <c r="G956" t="s">
        <v>15</v>
      </c>
      <c r="H956">
        <v>10</v>
      </c>
      <c r="I956">
        <v>471.84</v>
      </c>
      <c r="J956" t="s">
        <v>10</v>
      </c>
    </row>
    <row r="957" spans="1:10" x14ac:dyDescent="0.35">
      <c r="A957">
        <v>956</v>
      </c>
      <c r="B957">
        <v>1</v>
      </c>
      <c r="C957" t="s">
        <v>0</v>
      </c>
      <c r="D957" s="1">
        <v>45232</v>
      </c>
      <c r="E957" t="s">
        <v>19</v>
      </c>
      <c r="F957" t="s">
        <v>9</v>
      </c>
      <c r="G957" t="s">
        <v>3</v>
      </c>
      <c r="H957">
        <v>3</v>
      </c>
      <c r="I957">
        <v>406.59</v>
      </c>
      <c r="J957" t="s">
        <v>8</v>
      </c>
    </row>
    <row r="958" spans="1:10" x14ac:dyDescent="0.35">
      <c r="A958">
        <v>957</v>
      </c>
      <c r="B958">
        <v>37</v>
      </c>
      <c r="C958" t="s">
        <v>5</v>
      </c>
      <c r="D958" s="1">
        <v>45285</v>
      </c>
      <c r="E958" t="s">
        <v>6</v>
      </c>
      <c r="F958" t="s">
        <v>14</v>
      </c>
      <c r="G958" t="s">
        <v>3</v>
      </c>
      <c r="H958">
        <v>3</v>
      </c>
      <c r="I958">
        <v>70.510000000000005</v>
      </c>
      <c r="J958" t="s">
        <v>8</v>
      </c>
    </row>
    <row r="959" spans="1:10" x14ac:dyDescent="0.35">
      <c r="A959">
        <v>958</v>
      </c>
      <c r="B959">
        <v>13</v>
      </c>
      <c r="C959" t="s">
        <v>5</v>
      </c>
      <c r="D959" s="1">
        <v>45296</v>
      </c>
      <c r="E959" t="s">
        <v>6</v>
      </c>
      <c r="F959" t="s">
        <v>12</v>
      </c>
      <c r="G959" t="s">
        <v>20</v>
      </c>
      <c r="H959">
        <v>1</v>
      </c>
      <c r="I959">
        <v>64.28</v>
      </c>
      <c r="J959" t="s">
        <v>10</v>
      </c>
    </row>
    <row r="960" spans="1:10" x14ac:dyDescent="0.35">
      <c r="A960">
        <v>959</v>
      </c>
      <c r="B960">
        <v>28</v>
      </c>
      <c r="C960" t="s">
        <v>0</v>
      </c>
      <c r="D960" s="1">
        <v>45060</v>
      </c>
      <c r="E960" t="s">
        <v>11</v>
      </c>
      <c r="F960" t="s">
        <v>12</v>
      </c>
      <c r="G960" t="s">
        <v>18</v>
      </c>
      <c r="H960">
        <v>10</v>
      </c>
      <c r="I960">
        <v>272.60000000000002</v>
      </c>
      <c r="J960" t="s">
        <v>10</v>
      </c>
    </row>
    <row r="961" spans="1:10" x14ac:dyDescent="0.35">
      <c r="A961">
        <v>960</v>
      </c>
      <c r="B961">
        <v>64</v>
      </c>
      <c r="C961" t="s">
        <v>0</v>
      </c>
      <c r="D961" s="1">
        <v>45197</v>
      </c>
      <c r="E961" t="s">
        <v>6</v>
      </c>
      <c r="F961" t="s">
        <v>9</v>
      </c>
      <c r="G961" t="s">
        <v>3</v>
      </c>
      <c r="H961">
        <v>7</v>
      </c>
      <c r="I961">
        <v>371.22</v>
      </c>
      <c r="J961" t="s">
        <v>10</v>
      </c>
    </row>
    <row r="962" spans="1:10" x14ac:dyDescent="0.35">
      <c r="A962">
        <v>961</v>
      </c>
      <c r="B962">
        <v>65</v>
      </c>
      <c r="C962" t="s">
        <v>5</v>
      </c>
      <c r="D962" s="1">
        <v>45093</v>
      </c>
      <c r="E962" t="s">
        <v>6</v>
      </c>
      <c r="F962" t="s">
        <v>17</v>
      </c>
      <c r="G962" t="s">
        <v>20</v>
      </c>
      <c r="H962">
        <v>2</v>
      </c>
      <c r="I962">
        <v>484.66</v>
      </c>
      <c r="J962" t="s">
        <v>4</v>
      </c>
    </row>
    <row r="963" spans="1:10" x14ac:dyDescent="0.35">
      <c r="A963">
        <v>962</v>
      </c>
      <c r="B963">
        <v>59</v>
      </c>
      <c r="C963" t="s">
        <v>0</v>
      </c>
      <c r="D963" s="1">
        <v>45638</v>
      </c>
      <c r="E963" t="s">
        <v>11</v>
      </c>
      <c r="F963" t="s">
        <v>17</v>
      </c>
      <c r="G963" t="s">
        <v>13</v>
      </c>
      <c r="H963">
        <v>8</v>
      </c>
      <c r="I963">
        <v>197.28</v>
      </c>
      <c r="J963" t="s">
        <v>4</v>
      </c>
    </row>
    <row r="964" spans="1:10" x14ac:dyDescent="0.35">
      <c r="A964">
        <v>963</v>
      </c>
      <c r="B964">
        <v>15</v>
      </c>
      <c r="C964" t="s">
        <v>5</v>
      </c>
      <c r="D964" s="1">
        <v>45543</v>
      </c>
      <c r="E964" t="s">
        <v>19</v>
      </c>
      <c r="F964" t="s">
        <v>12</v>
      </c>
      <c r="G964" t="s">
        <v>3</v>
      </c>
      <c r="H964">
        <v>4</v>
      </c>
      <c r="I964">
        <v>39.340000000000003</v>
      </c>
      <c r="J964" t="s">
        <v>8</v>
      </c>
    </row>
    <row r="965" spans="1:10" x14ac:dyDescent="0.35">
      <c r="A965">
        <v>964</v>
      </c>
      <c r="B965">
        <v>40</v>
      </c>
      <c r="C965" t="s">
        <v>0</v>
      </c>
      <c r="D965" s="1">
        <v>45047</v>
      </c>
      <c r="E965" t="s">
        <v>19</v>
      </c>
      <c r="F965" t="s">
        <v>14</v>
      </c>
      <c r="G965" t="s">
        <v>18</v>
      </c>
      <c r="H965">
        <v>7</v>
      </c>
      <c r="I965">
        <v>33.43</v>
      </c>
      <c r="J965" t="s">
        <v>8</v>
      </c>
    </row>
    <row r="966" spans="1:10" x14ac:dyDescent="0.35">
      <c r="A966">
        <v>965</v>
      </c>
      <c r="B966">
        <v>54</v>
      </c>
      <c r="C966" t="s">
        <v>5</v>
      </c>
      <c r="D966" s="1">
        <v>45072</v>
      </c>
      <c r="E966" t="s">
        <v>19</v>
      </c>
      <c r="F966" t="s">
        <v>9</v>
      </c>
      <c r="G966" t="s">
        <v>3</v>
      </c>
      <c r="H966">
        <v>4</v>
      </c>
      <c r="I966">
        <v>123.48</v>
      </c>
      <c r="J966" t="s">
        <v>10</v>
      </c>
    </row>
    <row r="967" spans="1:10" x14ac:dyDescent="0.35">
      <c r="A967">
        <v>966</v>
      </c>
      <c r="B967">
        <v>71</v>
      </c>
      <c r="C967" t="s">
        <v>0</v>
      </c>
      <c r="D967" s="1">
        <v>44929</v>
      </c>
      <c r="E967" t="s">
        <v>11</v>
      </c>
      <c r="F967" t="s">
        <v>2</v>
      </c>
      <c r="G967" t="s">
        <v>3</v>
      </c>
      <c r="H967">
        <v>0</v>
      </c>
      <c r="I967">
        <v>220.44</v>
      </c>
      <c r="J967" t="s">
        <v>16</v>
      </c>
    </row>
    <row r="968" spans="1:10" x14ac:dyDescent="0.35">
      <c r="A968">
        <v>967</v>
      </c>
      <c r="B968">
        <v>44</v>
      </c>
      <c r="C968" t="s">
        <v>0</v>
      </c>
      <c r="D968" s="1">
        <v>45506</v>
      </c>
      <c r="E968" t="s">
        <v>6</v>
      </c>
      <c r="F968" t="s">
        <v>12</v>
      </c>
      <c r="G968" t="s">
        <v>3</v>
      </c>
      <c r="H968">
        <v>2</v>
      </c>
      <c r="I968">
        <v>385.74</v>
      </c>
      <c r="J968" t="s">
        <v>10</v>
      </c>
    </row>
    <row r="969" spans="1:10" x14ac:dyDescent="0.35">
      <c r="A969">
        <v>968</v>
      </c>
      <c r="B969">
        <v>58</v>
      </c>
      <c r="C969" t="s">
        <v>5</v>
      </c>
      <c r="D969" s="1">
        <v>45387</v>
      </c>
      <c r="E969" t="s">
        <v>19</v>
      </c>
      <c r="F969" t="s">
        <v>7</v>
      </c>
      <c r="G969" t="s">
        <v>3</v>
      </c>
      <c r="H969">
        <v>1</v>
      </c>
      <c r="I969">
        <v>403.91</v>
      </c>
      <c r="J969" t="s">
        <v>10</v>
      </c>
    </row>
    <row r="970" spans="1:10" x14ac:dyDescent="0.35">
      <c r="A970">
        <v>969</v>
      </c>
      <c r="B970">
        <v>51</v>
      </c>
      <c r="C970" t="s">
        <v>0</v>
      </c>
      <c r="D970" s="1">
        <v>45323</v>
      </c>
      <c r="E970" t="s">
        <v>11</v>
      </c>
      <c r="F970" t="s">
        <v>17</v>
      </c>
      <c r="G970" t="s">
        <v>20</v>
      </c>
      <c r="H970">
        <v>4</v>
      </c>
      <c r="I970">
        <v>330.04</v>
      </c>
      <c r="J970" t="s">
        <v>8</v>
      </c>
    </row>
    <row r="971" spans="1:10" x14ac:dyDescent="0.35">
      <c r="A971">
        <v>970</v>
      </c>
      <c r="B971">
        <v>74</v>
      </c>
      <c r="C971" t="s">
        <v>0</v>
      </c>
      <c r="D971" s="1">
        <v>45651</v>
      </c>
      <c r="E971" t="s">
        <v>11</v>
      </c>
      <c r="F971" t="s">
        <v>2</v>
      </c>
      <c r="G971" t="s">
        <v>3</v>
      </c>
      <c r="H971">
        <v>10</v>
      </c>
      <c r="I971">
        <v>288.49</v>
      </c>
      <c r="J971" t="s">
        <v>8</v>
      </c>
    </row>
    <row r="972" spans="1:10" x14ac:dyDescent="0.35">
      <c r="A972">
        <v>971</v>
      </c>
      <c r="B972">
        <v>74</v>
      </c>
      <c r="C972" t="s">
        <v>5</v>
      </c>
      <c r="D972" s="1">
        <v>45560</v>
      </c>
      <c r="E972" t="s">
        <v>1</v>
      </c>
      <c r="F972" t="s">
        <v>9</v>
      </c>
      <c r="G972" t="s">
        <v>3</v>
      </c>
      <c r="H972">
        <v>7</v>
      </c>
      <c r="I972">
        <v>261.27</v>
      </c>
      <c r="J972" t="s">
        <v>4</v>
      </c>
    </row>
    <row r="973" spans="1:10" x14ac:dyDescent="0.35">
      <c r="A973">
        <v>972</v>
      </c>
      <c r="B973">
        <v>69</v>
      </c>
      <c r="C973" t="s">
        <v>5</v>
      </c>
      <c r="D973" s="1">
        <v>45050</v>
      </c>
      <c r="E973" t="s">
        <v>11</v>
      </c>
      <c r="F973" t="s">
        <v>7</v>
      </c>
      <c r="G973" t="s">
        <v>3</v>
      </c>
      <c r="H973">
        <v>4</v>
      </c>
      <c r="I973">
        <v>397.64</v>
      </c>
      <c r="J973" t="s">
        <v>8</v>
      </c>
    </row>
    <row r="974" spans="1:10" x14ac:dyDescent="0.35">
      <c r="A974">
        <v>973</v>
      </c>
      <c r="B974">
        <v>57</v>
      </c>
      <c r="C974" t="s">
        <v>5</v>
      </c>
      <c r="D974" s="1">
        <v>45649</v>
      </c>
      <c r="E974" t="s">
        <v>19</v>
      </c>
      <c r="F974" t="s">
        <v>9</v>
      </c>
      <c r="G974" t="s">
        <v>3</v>
      </c>
      <c r="H974">
        <v>6</v>
      </c>
      <c r="I974">
        <v>302.67</v>
      </c>
      <c r="J974" t="s">
        <v>10</v>
      </c>
    </row>
    <row r="975" spans="1:10" x14ac:dyDescent="0.35">
      <c r="A975">
        <v>974</v>
      </c>
      <c r="B975">
        <v>56</v>
      </c>
      <c r="C975" t="s">
        <v>5</v>
      </c>
      <c r="D975" s="1">
        <v>44950</v>
      </c>
      <c r="E975" t="s">
        <v>6</v>
      </c>
      <c r="F975" t="s">
        <v>14</v>
      </c>
      <c r="G975" t="s">
        <v>15</v>
      </c>
      <c r="H975">
        <v>8</v>
      </c>
      <c r="I975">
        <v>172.34</v>
      </c>
      <c r="J975" t="s">
        <v>16</v>
      </c>
    </row>
    <row r="976" spans="1:10" x14ac:dyDescent="0.35">
      <c r="A976">
        <v>975</v>
      </c>
      <c r="B976">
        <v>13</v>
      </c>
      <c r="C976" t="s">
        <v>5</v>
      </c>
      <c r="D976" s="1">
        <v>45020</v>
      </c>
      <c r="E976" t="s">
        <v>19</v>
      </c>
      <c r="F976" t="s">
        <v>2</v>
      </c>
      <c r="G976" t="s">
        <v>3</v>
      </c>
      <c r="H976">
        <v>2</v>
      </c>
      <c r="I976">
        <v>107.68</v>
      </c>
      <c r="J976" t="s">
        <v>4</v>
      </c>
    </row>
    <row r="977" spans="1:10" x14ac:dyDescent="0.35">
      <c r="A977">
        <v>976</v>
      </c>
      <c r="B977">
        <v>53</v>
      </c>
      <c r="C977" t="s">
        <v>5</v>
      </c>
      <c r="D977" s="1">
        <v>45084</v>
      </c>
      <c r="E977" t="s">
        <v>11</v>
      </c>
      <c r="F977" t="s">
        <v>14</v>
      </c>
      <c r="G977" t="s">
        <v>3</v>
      </c>
      <c r="H977">
        <v>5</v>
      </c>
      <c r="I977">
        <v>107.1</v>
      </c>
      <c r="J977" t="s">
        <v>4</v>
      </c>
    </row>
    <row r="978" spans="1:10" x14ac:dyDescent="0.35">
      <c r="A978">
        <v>977</v>
      </c>
      <c r="B978">
        <v>13</v>
      </c>
      <c r="C978" t="s">
        <v>0</v>
      </c>
      <c r="D978" s="1">
        <v>45232</v>
      </c>
      <c r="E978" t="s">
        <v>1</v>
      </c>
      <c r="F978" t="s">
        <v>12</v>
      </c>
      <c r="G978" t="s">
        <v>20</v>
      </c>
      <c r="H978">
        <v>5</v>
      </c>
      <c r="I978">
        <v>143.81</v>
      </c>
      <c r="J978" t="s">
        <v>4</v>
      </c>
    </row>
    <row r="979" spans="1:10" x14ac:dyDescent="0.35">
      <c r="A979">
        <v>978</v>
      </c>
      <c r="B979">
        <v>31</v>
      </c>
      <c r="C979" t="s">
        <v>5</v>
      </c>
      <c r="D979" s="1">
        <v>44980</v>
      </c>
      <c r="E979" t="s">
        <v>6</v>
      </c>
      <c r="F979" t="s">
        <v>17</v>
      </c>
      <c r="G979" t="s">
        <v>3</v>
      </c>
      <c r="H979">
        <v>8</v>
      </c>
      <c r="I979">
        <v>204.82</v>
      </c>
      <c r="J979" t="s">
        <v>4</v>
      </c>
    </row>
    <row r="980" spans="1:10" x14ac:dyDescent="0.35">
      <c r="A980">
        <v>979</v>
      </c>
      <c r="B980">
        <v>41</v>
      </c>
      <c r="C980" t="s">
        <v>0</v>
      </c>
      <c r="D980" s="1">
        <v>45202</v>
      </c>
      <c r="E980" t="s">
        <v>6</v>
      </c>
      <c r="F980" t="s">
        <v>2</v>
      </c>
      <c r="G980" t="s">
        <v>3</v>
      </c>
      <c r="H980">
        <v>1</v>
      </c>
      <c r="I980">
        <v>252.4</v>
      </c>
      <c r="J980" t="s">
        <v>10</v>
      </c>
    </row>
    <row r="981" spans="1:10" x14ac:dyDescent="0.35">
      <c r="A981">
        <v>980</v>
      </c>
      <c r="B981">
        <v>3</v>
      </c>
      <c r="C981" t="s">
        <v>0</v>
      </c>
      <c r="D981" s="1">
        <v>45575</v>
      </c>
      <c r="E981" t="s">
        <v>11</v>
      </c>
      <c r="F981" t="s">
        <v>17</v>
      </c>
      <c r="G981" t="s">
        <v>13</v>
      </c>
      <c r="H981">
        <v>8</v>
      </c>
      <c r="I981">
        <v>332.74</v>
      </c>
      <c r="J981" t="s">
        <v>8</v>
      </c>
    </row>
    <row r="982" spans="1:10" x14ac:dyDescent="0.35">
      <c r="A982">
        <v>981</v>
      </c>
      <c r="B982">
        <v>53</v>
      </c>
      <c r="C982" t="s">
        <v>0</v>
      </c>
      <c r="D982" s="1">
        <v>45238</v>
      </c>
      <c r="E982" t="s">
        <v>11</v>
      </c>
      <c r="F982" t="s">
        <v>9</v>
      </c>
      <c r="G982" t="s">
        <v>3</v>
      </c>
      <c r="H982">
        <v>10</v>
      </c>
      <c r="I982">
        <v>260.20999999999998</v>
      </c>
      <c r="J982" t="s">
        <v>8</v>
      </c>
    </row>
    <row r="983" spans="1:10" x14ac:dyDescent="0.35">
      <c r="A983">
        <v>982</v>
      </c>
      <c r="B983">
        <v>22</v>
      </c>
      <c r="C983" t="s">
        <v>5</v>
      </c>
      <c r="D983" s="1">
        <v>45309</v>
      </c>
      <c r="E983" t="s">
        <v>6</v>
      </c>
      <c r="F983" t="s">
        <v>9</v>
      </c>
      <c r="G983" t="s">
        <v>3</v>
      </c>
      <c r="H983">
        <v>8</v>
      </c>
      <c r="I983">
        <v>236.84</v>
      </c>
      <c r="J983" t="s">
        <v>4</v>
      </c>
    </row>
    <row r="984" spans="1:10" x14ac:dyDescent="0.35">
      <c r="A984">
        <v>983</v>
      </c>
      <c r="B984">
        <v>38</v>
      </c>
      <c r="C984" t="s">
        <v>5</v>
      </c>
      <c r="D984" s="1">
        <v>45402</v>
      </c>
      <c r="E984" t="s">
        <v>11</v>
      </c>
      <c r="F984" t="s">
        <v>9</v>
      </c>
      <c r="G984" t="s">
        <v>3</v>
      </c>
      <c r="H984">
        <v>0</v>
      </c>
      <c r="I984">
        <v>468.08</v>
      </c>
      <c r="J984" t="s">
        <v>10</v>
      </c>
    </row>
    <row r="985" spans="1:10" x14ac:dyDescent="0.35">
      <c r="A985">
        <v>984</v>
      </c>
      <c r="B985">
        <v>33</v>
      </c>
      <c r="C985" t="s">
        <v>0</v>
      </c>
      <c r="D985" s="1">
        <v>45206</v>
      </c>
      <c r="E985" t="s">
        <v>19</v>
      </c>
      <c r="F985" t="s">
        <v>9</v>
      </c>
      <c r="G985" t="s">
        <v>3</v>
      </c>
      <c r="H985">
        <v>10</v>
      </c>
      <c r="I985">
        <v>122.12</v>
      </c>
      <c r="J985" t="s">
        <v>16</v>
      </c>
    </row>
    <row r="986" spans="1:10" x14ac:dyDescent="0.35">
      <c r="A986">
        <v>985</v>
      </c>
      <c r="B986">
        <v>69</v>
      </c>
      <c r="C986" t="s">
        <v>5</v>
      </c>
      <c r="D986" s="1">
        <v>44973</v>
      </c>
      <c r="E986" t="s">
        <v>19</v>
      </c>
      <c r="F986" t="s">
        <v>17</v>
      </c>
      <c r="G986" t="s">
        <v>15</v>
      </c>
      <c r="H986">
        <v>6</v>
      </c>
      <c r="I986">
        <v>355.25</v>
      </c>
      <c r="J986" t="s">
        <v>8</v>
      </c>
    </row>
    <row r="987" spans="1:10" x14ac:dyDescent="0.35">
      <c r="A987">
        <v>986</v>
      </c>
      <c r="B987">
        <v>56</v>
      </c>
      <c r="C987" t="s">
        <v>5</v>
      </c>
      <c r="D987" s="1">
        <v>45496</v>
      </c>
      <c r="E987" t="s">
        <v>19</v>
      </c>
      <c r="F987" t="s">
        <v>14</v>
      </c>
      <c r="G987" t="s">
        <v>18</v>
      </c>
      <c r="H987">
        <v>10</v>
      </c>
      <c r="I987">
        <v>145.44999999999999</v>
      </c>
      <c r="J987" t="s">
        <v>10</v>
      </c>
    </row>
    <row r="988" spans="1:10" x14ac:dyDescent="0.35">
      <c r="A988">
        <v>987</v>
      </c>
      <c r="B988">
        <v>85</v>
      </c>
      <c r="C988" t="s">
        <v>0</v>
      </c>
      <c r="D988" s="1">
        <v>45206</v>
      </c>
      <c r="E988" t="s">
        <v>19</v>
      </c>
      <c r="F988" t="s">
        <v>17</v>
      </c>
      <c r="G988" t="s">
        <v>13</v>
      </c>
      <c r="H988">
        <v>7</v>
      </c>
      <c r="I988">
        <v>480.32</v>
      </c>
      <c r="J988" t="s">
        <v>16</v>
      </c>
    </row>
    <row r="989" spans="1:10" x14ac:dyDescent="0.35">
      <c r="A989">
        <v>988</v>
      </c>
      <c r="B989">
        <v>18</v>
      </c>
      <c r="C989" t="s">
        <v>5</v>
      </c>
      <c r="D989" s="1">
        <v>44943</v>
      </c>
      <c r="E989" t="s">
        <v>6</v>
      </c>
      <c r="F989" t="s">
        <v>7</v>
      </c>
      <c r="G989" t="s">
        <v>3</v>
      </c>
      <c r="H989">
        <v>0</v>
      </c>
      <c r="I989">
        <v>452.69</v>
      </c>
      <c r="J989" t="s">
        <v>8</v>
      </c>
    </row>
    <row r="990" spans="1:10" x14ac:dyDescent="0.35">
      <c r="A990">
        <v>989</v>
      </c>
      <c r="B990">
        <v>63</v>
      </c>
      <c r="C990" t="s">
        <v>0</v>
      </c>
      <c r="D990" s="1">
        <v>45350</v>
      </c>
      <c r="E990" t="s">
        <v>11</v>
      </c>
      <c r="F990" t="s">
        <v>9</v>
      </c>
      <c r="G990" t="s">
        <v>3</v>
      </c>
      <c r="H990">
        <v>10</v>
      </c>
      <c r="I990">
        <v>332.61</v>
      </c>
      <c r="J990" t="s">
        <v>4</v>
      </c>
    </row>
    <row r="991" spans="1:10" x14ac:dyDescent="0.35">
      <c r="A991">
        <v>990</v>
      </c>
      <c r="B991">
        <v>16</v>
      </c>
      <c r="C991" t="s">
        <v>0</v>
      </c>
      <c r="D991" s="1">
        <v>45614</v>
      </c>
      <c r="E991" t="s">
        <v>6</v>
      </c>
      <c r="F991" t="s">
        <v>12</v>
      </c>
      <c r="G991" t="s">
        <v>3</v>
      </c>
      <c r="H991">
        <v>5</v>
      </c>
      <c r="I991">
        <v>205.64</v>
      </c>
      <c r="J991" t="s">
        <v>4</v>
      </c>
    </row>
    <row r="992" spans="1:10" x14ac:dyDescent="0.35">
      <c r="A992">
        <v>991</v>
      </c>
      <c r="B992">
        <v>48</v>
      </c>
      <c r="C992" t="s">
        <v>5</v>
      </c>
      <c r="D992" s="1">
        <v>45054</v>
      </c>
      <c r="E992" t="s">
        <v>6</v>
      </c>
      <c r="F992" t="s">
        <v>12</v>
      </c>
      <c r="G992" t="s">
        <v>15</v>
      </c>
      <c r="H992">
        <v>3</v>
      </c>
      <c r="I992">
        <v>376.71</v>
      </c>
      <c r="J992" t="s">
        <v>16</v>
      </c>
    </row>
    <row r="993" spans="1:10" x14ac:dyDescent="0.35">
      <c r="A993">
        <v>992</v>
      </c>
      <c r="B993">
        <v>46</v>
      </c>
      <c r="C993" t="s">
        <v>5</v>
      </c>
      <c r="D993" s="1">
        <v>45623</v>
      </c>
      <c r="E993" t="s">
        <v>11</v>
      </c>
      <c r="F993" t="s">
        <v>7</v>
      </c>
      <c r="G993" t="s">
        <v>3</v>
      </c>
      <c r="H993">
        <v>9</v>
      </c>
      <c r="I993">
        <v>320.11</v>
      </c>
      <c r="J993" t="s">
        <v>8</v>
      </c>
    </row>
    <row r="994" spans="1:10" x14ac:dyDescent="0.35">
      <c r="A994">
        <v>993</v>
      </c>
      <c r="B994">
        <v>47</v>
      </c>
      <c r="C994" t="s">
        <v>5</v>
      </c>
      <c r="D994" s="1">
        <v>45166</v>
      </c>
      <c r="E994" t="s">
        <v>19</v>
      </c>
      <c r="F994" t="s">
        <v>12</v>
      </c>
      <c r="G994" t="s">
        <v>20</v>
      </c>
      <c r="H994">
        <v>9</v>
      </c>
      <c r="I994">
        <v>120.36</v>
      </c>
      <c r="J994" t="s">
        <v>8</v>
      </c>
    </row>
    <row r="995" spans="1:10" x14ac:dyDescent="0.35">
      <c r="A995">
        <v>994</v>
      </c>
      <c r="B995">
        <v>15</v>
      </c>
      <c r="C995" t="s">
        <v>0</v>
      </c>
      <c r="D995" s="1">
        <v>45580</v>
      </c>
      <c r="E995" t="s">
        <v>6</v>
      </c>
      <c r="F995" t="s">
        <v>12</v>
      </c>
      <c r="G995" t="s">
        <v>13</v>
      </c>
      <c r="H995">
        <v>8</v>
      </c>
      <c r="I995">
        <v>113.01</v>
      </c>
      <c r="J995" t="s">
        <v>8</v>
      </c>
    </row>
    <row r="996" spans="1:10" x14ac:dyDescent="0.35">
      <c r="A996">
        <v>995</v>
      </c>
      <c r="B996">
        <v>17</v>
      </c>
      <c r="C996" t="s">
        <v>5</v>
      </c>
      <c r="D996" s="1">
        <v>44993</v>
      </c>
      <c r="E996" t="s">
        <v>1</v>
      </c>
      <c r="F996" t="s">
        <v>9</v>
      </c>
      <c r="G996" t="s">
        <v>3</v>
      </c>
      <c r="H996">
        <v>4</v>
      </c>
      <c r="I996">
        <v>468.11</v>
      </c>
      <c r="J996" t="s">
        <v>8</v>
      </c>
    </row>
    <row r="997" spans="1:10" x14ac:dyDescent="0.35">
      <c r="A997">
        <v>996</v>
      </c>
      <c r="B997">
        <v>36</v>
      </c>
      <c r="C997" t="s">
        <v>5</v>
      </c>
      <c r="D997" s="1">
        <v>45462</v>
      </c>
      <c r="E997" t="s">
        <v>11</v>
      </c>
      <c r="F997" t="s">
        <v>7</v>
      </c>
      <c r="G997" t="s">
        <v>3</v>
      </c>
      <c r="H997">
        <v>10</v>
      </c>
      <c r="I997">
        <v>275.81</v>
      </c>
      <c r="J997" t="s">
        <v>16</v>
      </c>
    </row>
    <row r="998" spans="1:10" x14ac:dyDescent="0.35">
      <c r="A998">
        <v>997</v>
      </c>
      <c r="B998">
        <v>59</v>
      </c>
      <c r="C998" t="s">
        <v>5</v>
      </c>
      <c r="D998" s="1">
        <v>45624</v>
      </c>
      <c r="E998" t="s">
        <v>6</v>
      </c>
      <c r="F998" t="s">
        <v>9</v>
      </c>
      <c r="G998" t="s">
        <v>3</v>
      </c>
      <c r="H998">
        <v>10</v>
      </c>
      <c r="I998">
        <v>343.09</v>
      </c>
      <c r="J998" t="s">
        <v>4</v>
      </c>
    </row>
    <row r="999" spans="1:10" x14ac:dyDescent="0.35">
      <c r="A999">
        <v>998</v>
      </c>
      <c r="B999">
        <v>53</v>
      </c>
      <c r="C999" t="s">
        <v>0</v>
      </c>
      <c r="D999" s="1">
        <v>45257</v>
      </c>
      <c r="E999" t="s">
        <v>11</v>
      </c>
      <c r="F999" t="s">
        <v>12</v>
      </c>
      <c r="G999" t="s">
        <v>3</v>
      </c>
      <c r="H999">
        <v>7</v>
      </c>
      <c r="I999">
        <v>257.88</v>
      </c>
      <c r="J999" t="s">
        <v>4</v>
      </c>
    </row>
    <row r="1000" spans="1:10" x14ac:dyDescent="0.35">
      <c r="A1000">
        <v>999</v>
      </c>
      <c r="B1000">
        <v>36</v>
      </c>
      <c r="C1000" t="s">
        <v>0</v>
      </c>
      <c r="D1000" s="1">
        <v>45156</v>
      </c>
      <c r="E1000" t="s">
        <v>6</v>
      </c>
      <c r="F1000" t="s">
        <v>2</v>
      </c>
      <c r="G1000" t="s">
        <v>3</v>
      </c>
      <c r="H1000">
        <v>5</v>
      </c>
      <c r="I1000">
        <v>22.48</v>
      </c>
      <c r="J1000" t="s">
        <v>8</v>
      </c>
    </row>
    <row r="1001" spans="1:10" x14ac:dyDescent="0.35">
      <c r="A1001">
        <v>1000</v>
      </c>
      <c r="B1001">
        <v>74</v>
      </c>
      <c r="C1001" t="s">
        <v>5</v>
      </c>
      <c r="D1001" s="1">
        <v>45269</v>
      </c>
      <c r="E1001" t="s">
        <v>1</v>
      </c>
      <c r="F1001" t="s">
        <v>2</v>
      </c>
      <c r="G1001" t="s">
        <v>3</v>
      </c>
      <c r="H1001">
        <v>6</v>
      </c>
      <c r="I1001">
        <v>479.73</v>
      </c>
      <c r="J10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3B7C-BE6B-4F44-A22E-BD519C17A130}">
  <dimension ref="A1:AL1001"/>
  <sheetViews>
    <sheetView workbookViewId="0">
      <selection activeCell="C3" sqref="C3"/>
    </sheetView>
  </sheetViews>
  <sheetFormatPr defaultRowHeight="14.5" x14ac:dyDescent="0.35"/>
  <cols>
    <col min="1" max="1" width="11.7265625" customWidth="1"/>
    <col min="2" max="2" width="5.90625" customWidth="1"/>
    <col min="3" max="3" width="17.453125" bestFit="1" customWidth="1"/>
    <col min="4" max="4" width="11.453125" customWidth="1"/>
    <col min="5" max="5" width="10.453125" customWidth="1"/>
    <col min="6" max="6" width="15.54296875" bestFit="1" customWidth="1"/>
    <col min="7" max="7" width="12" bestFit="1" customWidth="1"/>
    <col min="8" max="8" width="20.7265625" customWidth="1"/>
    <col min="9" max="9" width="19.453125" bestFit="1" customWidth="1"/>
    <col min="10" max="10" width="19.26953125" customWidth="1"/>
    <col min="11" max="11" width="20.90625" style="2" customWidth="1"/>
    <col min="12" max="12" width="10.54296875" customWidth="1"/>
    <col min="31" max="31" width="12" bestFit="1" customWidth="1"/>
    <col min="36" max="36" width="8.7265625" customWidth="1"/>
    <col min="37" max="37" width="13.1796875" bestFit="1" customWidth="1"/>
  </cols>
  <sheetData>
    <row r="1" spans="1:38" x14ac:dyDescent="0.35">
      <c r="A1" t="s">
        <v>21</v>
      </c>
      <c r="B1" t="s">
        <v>22</v>
      </c>
      <c r="C1" t="s">
        <v>39</v>
      </c>
      <c r="D1" t="s">
        <v>23</v>
      </c>
      <c r="E1" t="s">
        <v>24</v>
      </c>
      <c r="F1" t="s">
        <v>31</v>
      </c>
      <c r="G1" t="s">
        <v>25</v>
      </c>
      <c r="H1" t="s">
        <v>26</v>
      </c>
      <c r="I1" t="s">
        <v>27</v>
      </c>
      <c r="J1" t="s">
        <v>35</v>
      </c>
      <c r="K1" t="s">
        <v>28</v>
      </c>
      <c r="L1" s="2" t="s">
        <v>29</v>
      </c>
      <c r="M1" t="s">
        <v>30</v>
      </c>
      <c r="AF1" t="s">
        <v>26</v>
      </c>
      <c r="AK1" t="s">
        <v>26</v>
      </c>
      <c r="AL1" t="s">
        <v>32</v>
      </c>
    </row>
    <row r="2" spans="1:38" x14ac:dyDescent="0.35">
      <c r="A2">
        <v>1</v>
      </c>
      <c r="B2">
        <v>4</v>
      </c>
      <c r="C2" t="str">
        <f>IF(Hospital[[#This Row],[Age]]&lt;=12,"Child",
IF(Hospital[[#This Row],[Age]]&lt;=19,"Teen",
IF(Hospital[[#This Row],[Age]]&lt;=35,"Young Adult",
IF(Hospital[[#This Row],[Age]]&lt;=59,"Adult",
"Senior"))))</f>
        <v>Child</v>
      </c>
      <c r="D2" t="s">
        <v>0</v>
      </c>
      <c r="E2" s="1">
        <v>45581</v>
      </c>
      <c r="F2" s="1" t="str">
        <f>TEXT(E2, "mmmm")</f>
        <v>October</v>
      </c>
      <c r="G2" t="s">
        <v>1</v>
      </c>
      <c r="H2" t="s">
        <v>2</v>
      </c>
      <c r="I2" t="s">
        <v>3</v>
      </c>
      <c r="J2" t="str">
        <f>IF(OR(G2="UTI", G2="Pneumonia", G2="Typhoid"),
   IF(H2="None","Error: Should have antibiotics","OK"),
   IF(H2&lt;&gt;"None","Error: Should be None","OK"))</f>
        <v>Error: Should be None</v>
      </c>
      <c r="K2">
        <v>3</v>
      </c>
      <c r="L2" s="2">
        <v>86.98</v>
      </c>
      <c r="M2" t="s">
        <v>4</v>
      </c>
      <c r="AF2" t="s">
        <v>2</v>
      </c>
      <c r="AK2" t="s">
        <v>2</v>
      </c>
      <c r="AL2" t="s">
        <v>34</v>
      </c>
    </row>
    <row r="3" spans="1:38" x14ac:dyDescent="0.35">
      <c r="A3">
        <v>2</v>
      </c>
      <c r="B3">
        <v>70</v>
      </c>
      <c r="C3" t="str">
        <f>IF(Hospital[[#This Row],[Age]]&lt;=12,"Child",
IF(Hospital[[#This Row],[Age]]&lt;=19,"Teen",
IF(Hospital[[#This Row],[Age]]&lt;=35,"Young Adult",
IF(Hospital[[#This Row],[Age]]&lt;=59,"Adult",
"Senior"))))</f>
        <v>Senior</v>
      </c>
      <c r="D3" t="s">
        <v>5</v>
      </c>
      <c r="E3" s="1">
        <v>45619</v>
      </c>
      <c r="F3" s="1" t="str">
        <f t="shared" ref="F3:F66" si="0">TEXT(E3, "mmmm")</f>
        <v>November</v>
      </c>
      <c r="G3" t="s">
        <v>6</v>
      </c>
      <c r="H3" t="s">
        <v>7</v>
      </c>
      <c r="I3" t="s">
        <v>3</v>
      </c>
      <c r="J3" t="str">
        <f t="shared" ref="J3:J66" si="1">IF(OR(G3="UTI", G3="Pneumonia", G3="Typhoid"),
   IF(H3="None","Error: Should have antibiotics","OK"),
   IF(H3&lt;&gt;"None","Error: Should be None","OK"))</f>
        <v>Error: Should be None</v>
      </c>
      <c r="K3">
        <v>0</v>
      </c>
      <c r="L3" s="2">
        <v>34.299999999999997</v>
      </c>
      <c r="M3" t="s">
        <v>8</v>
      </c>
      <c r="AF3" t="s">
        <v>7</v>
      </c>
      <c r="AK3" t="s">
        <v>7</v>
      </c>
      <c r="AL3" t="s">
        <v>34</v>
      </c>
    </row>
    <row r="4" spans="1:38" x14ac:dyDescent="0.35">
      <c r="A4">
        <v>3</v>
      </c>
      <c r="B4">
        <v>78</v>
      </c>
      <c r="C4" t="str">
        <f>IF(Hospital[[#This Row],[Age]]&lt;=12,"Child",
IF(Hospital[[#This Row],[Age]]&lt;=19,"Teen",
IF(Hospital[[#This Row],[Age]]&lt;=35,"Young Adult",
IF(Hospital[[#This Row],[Age]]&lt;=59,"Adult",
"Senior"))))</f>
        <v>Senior</v>
      </c>
      <c r="D4" t="s">
        <v>5</v>
      </c>
      <c r="E4" s="1">
        <v>45165</v>
      </c>
      <c r="F4" s="1" t="str">
        <f t="shared" si="0"/>
        <v>August</v>
      </c>
      <c r="G4" t="s">
        <v>1</v>
      </c>
      <c r="H4" t="s">
        <v>9</v>
      </c>
      <c r="I4" t="s">
        <v>3</v>
      </c>
      <c r="J4" t="str">
        <f t="shared" si="1"/>
        <v>Error: Should be None</v>
      </c>
      <c r="K4">
        <v>10</v>
      </c>
      <c r="L4" s="2">
        <v>356.64</v>
      </c>
      <c r="M4" t="s">
        <v>10</v>
      </c>
      <c r="AF4" t="s">
        <v>9</v>
      </c>
      <c r="AK4" t="s">
        <v>9</v>
      </c>
      <c r="AL4" t="s">
        <v>34</v>
      </c>
    </row>
    <row r="5" spans="1:38" x14ac:dyDescent="0.35">
      <c r="A5">
        <v>4</v>
      </c>
      <c r="B5">
        <v>76</v>
      </c>
      <c r="C5" t="str">
        <f>IF(Hospital[[#This Row],[Age]]&lt;=12,"Child",
IF(Hospital[[#This Row],[Age]]&lt;=19,"Teen",
IF(Hospital[[#This Row],[Age]]&lt;=35,"Young Adult",
IF(Hospital[[#This Row],[Age]]&lt;=59,"Adult",
"Senior"))))</f>
        <v>Senior</v>
      </c>
      <c r="D5" t="s">
        <v>0</v>
      </c>
      <c r="E5" s="1">
        <v>45152</v>
      </c>
      <c r="F5" s="1" t="str">
        <f t="shared" si="0"/>
        <v>August</v>
      </c>
      <c r="G5" t="s">
        <v>11</v>
      </c>
      <c r="H5" t="s">
        <v>12</v>
      </c>
      <c r="I5" t="s">
        <v>13</v>
      </c>
      <c r="J5" t="str">
        <f>IF(OR(G5="UTI", G5="Pneumonia", G5="Typhoid"),
   IF(H5="None","Error: Should have antibiotics","OK"),
   IF(H5&lt;&gt;"None","Error: Should be None","OK"))</f>
        <v>Error: Should be None</v>
      </c>
      <c r="K5">
        <v>6</v>
      </c>
      <c r="L5" s="2">
        <v>183.32</v>
      </c>
      <c r="M5" t="s">
        <v>8</v>
      </c>
      <c r="AF5" t="s">
        <v>12</v>
      </c>
      <c r="AK5" t="s">
        <v>12</v>
      </c>
      <c r="AL5" t="s">
        <v>33</v>
      </c>
    </row>
    <row r="6" spans="1:38" x14ac:dyDescent="0.35">
      <c r="A6">
        <v>5</v>
      </c>
      <c r="B6">
        <v>14</v>
      </c>
      <c r="C6" t="str">
        <f>IF(Hospital[[#This Row],[Age]]&lt;=12,"Child",
IF(Hospital[[#This Row],[Age]]&lt;=19,"Teen",
IF(Hospital[[#This Row],[Age]]&lt;=35,"Young Adult",
IF(Hospital[[#This Row],[Age]]&lt;=59,"Adult",
"Senior"))))</f>
        <v>Teen</v>
      </c>
      <c r="D6" t="s">
        <v>5</v>
      </c>
      <c r="E6" s="1">
        <v>45147</v>
      </c>
      <c r="F6" s="1" t="str">
        <f t="shared" si="0"/>
        <v>August</v>
      </c>
      <c r="G6" t="s">
        <v>6</v>
      </c>
      <c r="H6" t="s">
        <v>14</v>
      </c>
      <c r="I6" t="s">
        <v>15</v>
      </c>
      <c r="J6" t="str">
        <f t="shared" si="1"/>
        <v>Error: Should be None</v>
      </c>
      <c r="K6">
        <v>5</v>
      </c>
      <c r="L6" s="2">
        <v>426.8</v>
      </c>
      <c r="M6" t="s">
        <v>16</v>
      </c>
      <c r="AF6" t="s">
        <v>14</v>
      </c>
      <c r="AK6" t="s">
        <v>14</v>
      </c>
      <c r="AL6" t="s">
        <v>33</v>
      </c>
    </row>
    <row r="7" spans="1:38" x14ac:dyDescent="0.35">
      <c r="A7">
        <v>6</v>
      </c>
      <c r="B7">
        <v>59</v>
      </c>
      <c r="C7" t="str">
        <f>IF(Hospital[[#This Row],[Age]]&lt;=12,"Child",
IF(Hospital[[#This Row],[Age]]&lt;=19,"Teen",
IF(Hospital[[#This Row],[Age]]&lt;=35,"Young Adult",
IF(Hospital[[#This Row],[Age]]&lt;=59,"Adult",
"Senior"))))</f>
        <v>Adult</v>
      </c>
      <c r="D7" t="s">
        <v>5</v>
      </c>
      <c r="E7" s="1">
        <v>44971</v>
      </c>
      <c r="F7" s="1" t="str">
        <f t="shared" si="0"/>
        <v>February</v>
      </c>
      <c r="G7" t="s">
        <v>6</v>
      </c>
      <c r="H7" t="s">
        <v>7</v>
      </c>
      <c r="I7" t="s">
        <v>3</v>
      </c>
      <c r="J7" t="str">
        <f t="shared" si="1"/>
        <v>Error: Should be None</v>
      </c>
      <c r="K7">
        <v>1</v>
      </c>
      <c r="L7" s="2">
        <v>284.98</v>
      </c>
      <c r="M7" t="s">
        <v>16</v>
      </c>
      <c r="AF7" t="s">
        <v>17</v>
      </c>
      <c r="AK7" t="s">
        <v>17</v>
      </c>
      <c r="AL7" t="s">
        <v>33</v>
      </c>
    </row>
    <row r="8" spans="1:38" x14ac:dyDescent="0.35">
      <c r="A8">
        <v>7</v>
      </c>
      <c r="B8">
        <v>9</v>
      </c>
      <c r="C8" t="str">
        <f>IF(Hospital[[#This Row],[Age]]&lt;=12,"Child",
IF(Hospital[[#This Row],[Age]]&lt;=19,"Teen",
IF(Hospital[[#This Row],[Age]]&lt;=35,"Young Adult",
IF(Hospital[[#This Row],[Age]]&lt;=59,"Adult",
"Senior"))))</f>
        <v>Child</v>
      </c>
      <c r="D8" t="s">
        <v>5</v>
      </c>
      <c r="E8" s="1">
        <v>45518</v>
      </c>
      <c r="F8" s="1" t="str">
        <f t="shared" si="0"/>
        <v>August</v>
      </c>
      <c r="G8" t="s">
        <v>1</v>
      </c>
      <c r="H8" t="s">
        <v>17</v>
      </c>
      <c r="I8" t="s">
        <v>18</v>
      </c>
      <c r="J8" t="str">
        <f t="shared" si="1"/>
        <v>Error: Should be None</v>
      </c>
      <c r="K8">
        <v>1</v>
      </c>
      <c r="L8" s="2">
        <v>430.55</v>
      </c>
      <c r="M8" t="s">
        <v>4</v>
      </c>
    </row>
    <row r="9" spans="1:38" x14ac:dyDescent="0.35">
      <c r="A9">
        <v>8</v>
      </c>
      <c r="B9">
        <v>59</v>
      </c>
      <c r="C9" t="str">
        <f>IF(Hospital[[#This Row],[Age]]&lt;=12,"Child",
IF(Hospital[[#This Row],[Age]]&lt;=19,"Teen",
IF(Hospital[[#This Row],[Age]]&lt;=35,"Young Adult",
IF(Hospital[[#This Row],[Age]]&lt;=59,"Adult",
"Senior"))))</f>
        <v>Adult</v>
      </c>
      <c r="D9" t="s">
        <v>0</v>
      </c>
      <c r="E9" s="1">
        <v>45316</v>
      </c>
      <c r="F9" s="1" t="str">
        <f t="shared" si="0"/>
        <v>January</v>
      </c>
      <c r="G9" t="s">
        <v>1</v>
      </c>
      <c r="H9" t="s">
        <v>14</v>
      </c>
      <c r="I9" t="s">
        <v>18</v>
      </c>
      <c r="J9" t="str">
        <f t="shared" si="1"/>
        <v>Error: Should be None</v>
      </c>
      <c r="K9">
        <v>5</v>
      </c>
      <c r="L9" s="2">
        <v>120.56</v>
      </c>
      <c r="M9" t="s">
        <v>16</v>
      </c>
    </row>
    <row r="10" spans="1:38" x14ac:dyDescent="0.35">
      <c r="A10">
        <v>9</v>
      </c>
      <c r="B10">
        <v>83</v>
      </c>
      <c r="C10" t="str">
        <f>IF(Hospital[[#This Row],[Age]]&lt;=12,"Child",
IF(Hospital[[#This Row],[Age]]&lt;=19,"Teen",
IF(Hospital[[#This Row],[Age]]&lt;=35,"Young Adult",
IF(Hospital[[#This Row],[Age]]&lt;=59,"Adult",
"Senior"))))</f>
        <v>Senior</v>
      </c>
      <c r="D10" t="s">
        <v>5</v>
      </c>
      <c r="E10" s="1">
        <v>45645</v>
      </c>
      <c r="F10" s="1" t="str">
        <f t="shared" si="0"/>
        <v>December</v>
      </c>
      <c r="G10" t="s">
        <v>1</v>
      </c>
      <c r="H10" t="s">
        <v>7</v>
      </c>
      <c r="I10" t="s">
        <v>3</v>
      </c>
      <c r="J10" t="str">
        <f t="shared" si="1"/>
        <v>Error: Should be None</v>
      </c>
      <c r="K10">
        <v>8</v>
      </c>
      <c r="L10" s="2">
        <v>369.98</v>
      </c>
      <c r="M10" t="s">
        <v>8</v>
      </c>
    </row>
    <row r="11" spans="1:38" x14ac:dyDescent="0.35">
      <c r="A11">
        <v>10</v>
      </c>
      <c r="B11">
        <v>35</v>
      </c>
      <c r="C1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1" t="s">
        <v>5</v>
      </c>
      <c r="E11" s="1">
        <v>45400</v>
      </c>
      <c r="F11" s="1" t="str">
        <f t="shared" si="0"/>
        <v>April</v>
      </c>
      <c r="G11" t="s">
        <v>19</v>
      </c>
      <c r="H11" t="s">
        <v>12</v>
      </c>
      <c r="I11" t="s">
        <v>15</v>
      </c>
      <c r="J11" t="str">
        <f t="shared" si="1"/>
        <v>Error: Should be None</v>
      </c>
      <c r="K11">
        <v>3</v>
      </c>
      <c r="L11" s="2">
        <v>414.47</v>
      </c>
      <c r="M11" t="s">
        <v>16</v>
      </c>
    </row>
    <row r="12" spans="1:38" x14ac:dyDescent="0.35">
      <c r="A12">
        <v>11</v>
      </c>
      <c r="B12">
        <v>9</v>
      </c>
      <c r="C12" t="str">
        <f>IF(Hospital[[#This Row],[Age]]&lt;=12,"Child",
IF(Hospital[[#This Row],[Age]]&lt;=19,"Teen",
IF(Hospital[[#This Row],[Age]]&lt;=35,"Young Adult",
IF(Hospital[[#This Row],[Age]]&lt;=59,"Adult",
"Senior"))))</f>
        <v>Child</v>
      </c>
      <c r="D12" t="s">
        <v>5</v>
      </c>
      <c r="E12" s="1">
        <v>45337</v>
      </c>
      <c r="F12" s="1" t="str">
        <f t="shared" si="0"/>
        <v>February</v>
      </c>
      <c r="G12" t="s">
        <v>19</v>
      </c>
      <c r="H12" t="s">
        <v>14</v>
      </c>
      <c r="I12" t="s">
        <v>13</v>
      </c>
      <c r="J12" t="str">
        <f t="shared" si="1"/>
        <v>Error: Should be None</v>
      </c>
      <c r="K12">
        <v>10</v>
      </c>
      <c r="L12" s="2">
        <v>259.63</v>
      </c>
      <c r="M12" t="s">
        <v>10</v>
      </c>
    </row>
    <row r="13" spans="1:38" x14ac:dyDescent="0.35">
      <c r="A13">
        <v>12</v>
      </c>
      <c r="B13">
        <v>18</v>
      </c>
      <c r="C13" t="str">
        <f>IF(Hospital[[#This Row],[Age]]&lt;=12,"Child",
IF(Hospital[[#This Row],[Age]]&lt;=19,"Teen",
IF(Hospital[[#This Row],[Age]]&lt;=35,"Young Adult",
IF(Hospital[[#This Row],[Age]]&lt;=59,"Adult",
"Senior"))))</f>
        <v>Teen</v>
      </c>
      <c r="D13" t="s">
        <v>5</v>
      </c>
      <c r="E13" s="1">
        <v>45073</v>
      </c>
      <c r="F13" s="1" t="str">
        <f t="shared" si="0"/>
        <v>May</v>
      </c>
      <c r="G13" t="s">
        <v>19</v>
      </c>
      <c r="H13" t="s">
        <v>14</v>
      </c>
      <c r="I13" t="s">
        <v>3</v>
      </c>
      <c r="J13" t="str">
        <f t="shared" si="1"/>
        <v>Error: Should be None</v>
      </c>
      <c r="K13">
        <v>6</v>
      </c>
      <c r="L13" s="2">
        <v>450.95</v>
      </c>
      <c r="M13" t="s">
        <v>10</v>
      </c>
    </row>
    <row r="14" spans="1:38" x14ac:dyDescent="0.35">
      <c r="A14">
        <v>13</v>
      </c>
      <c r="B14">
        <v>18</v>
      </c>
      <c r="C14" t="str">
        <f>IF(Hospital[[#This Row],[Age]]&lt;=12,"Child",
IF(Hospital[[#This Row],[Age]]&lt;=19,"Teen",
IF(Hospital[[#This Row],[Age]]&lt;=35,"Young Adult",
IF(Hospital[[#This Row],[Age]]&lt;=59,"Adult",
"Senior"))))</f>
        <v>Teen</v>
      </c>
      <c r="D14" t="s">
        <v>0</v>
      </c>
      <c r="E14" s="1">
        <v>45297</v>
      </c>
      <c r="F14" s="1" t="str">
        <f t="shared" si="0"/>
        <v>January</v>
      </c>
      <c r="G14" t="s">
        <v>11</v>
      </c>
      <c r="H14" t="s">
        <v>17</v>
      </c>
      <c r="I14" t="s">
        <v>15</v>
      </c>
      <c r="J14" t="str">
        <f t="shared" si="1"/>
        <v>Error: Should be None</v>
      </c>
      <c r="K14">
        <v>1</v>
      </c>
      <c r="L14" s="2">
        <v>93.36</v>
      </c>
      <c r="M14" t="s">
        <v>8</v>
      </c>
    </row>
    <row r="15" spans="1:38" x14ac:dyDescent="0.35">
      <c r="A15">
        <v>14</v>
      </c>
      <c r="B15">
        <v>77</v>
      </c>
      <c r="C15" t="str">
        <f>IF(Hospital[[#This Row],[Age]]&lt;=12,"Child",
IF(Hospital[[#This Row],[Age]]&lt;=19,"Teen",
IF(Hospital[[#This Row],[Age]]&lt;=35,"Young Adult",
IF(Hospital[[#This Row],[Age]]&lt;=59,"Adult",
"Senior"))))</f>
        <v>Senior</v>
      </c>
      <c r="D15" t="s">
        <v>5</v>
      </c>
      <c r="E15" s="1">
        <v>45623</v>
      </c>
      <c r="F15" s="1" t="str">
        <f t="shared" si="0"/>
        <v>November</v>
      </c>
      <c r="G15" t="s">
        <v>6</v>
      </c>
      <c r="H15" t="s">
        <v>12</v>
      </c>
      <c r="I15" t="s">
        <v>20</v>
      </c>
      <c r="J15" t="str">
        <f t="shared" si="1"/>
        <v>Error: Should be None</v>
      </c>
      <c r="K15">
        <v>9</v>
      </c>
      <c r="L15" s="2">
        <v>498.14</v>
      </c>
      <c r="M15" t="s">
        <v>16</v>
      </c>
    </row>
    <row r="16" spans="1:38" x14ac:dyDescent="0.35">
      <c r="A16">
        <v>15</v>
      </c>
      <c r="B16">
        <v>15</v>
      </c>
      <c r="C16" t="str">
        <f>IF(Hospital[[#This Row],[Age]]&lt;=12,"Child",
IF(Hospital[[#This Row],[Age]]&lt;=19,"Teen",
IF(Hospital[[#This Row],[Age]]&lt;=35,"Young Adult",
IF(Hospital[[#This Row],[Age]]&lt;=59,"Adult",
"Senior"))))</f>
        <v>Teen</v>
      </c>
      <c r="D16" t="s">
        <v>0</v>
      </c>
      <c r="E16" s="1">
        <v>45493</v>
      </c>
      <c r="F16" s="1" t="str">
        <f t="shared" si="0"/>
        <v>July</v>
      </c>
      <c r="G16" t="s">
        <v>19</v>
      </c>
      <c r="H16" t="s">
        <v>2</v>
      </c>
      <c r="I16" t="s">
        <v>3</v>
      </c>
      <c r="J16" t="str">
        <f t="shared" si="1"/>
        <v>Error: Should be None</v>
      </c>
      <c r="K16">
        <v>1</v>
      </c>
      <c r="L16" s="2">
        <v>160.88</v>
      </c>
      <c r="M16" t="s">
        <v>8</v>
      </c>
    </row>
    <row r="17" spans="1:13" x14ac:dyDescent="0.35">
      <c r="A17">
        <v>16</v>
      </c>
      <c r="B17">
        <v>34</v>
      </c>
      <c r="C17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7" t="s">
        <v>5</v>
      </c>
      <c r="E17" s="1">
        <v>45391</v>
      </c>
      <c r="F17" s="1" t="str">
        <f t="shared" si="0"/>
        <v>April</v>
      </c>
      <c r="G17" t="s">
        <v>11</v>
      </c>
      <c r="H17" t="s">
        <v>2</v>
      </c>
      <c r="I17" t="s">
        <v>3</v>
      </c>
      <c r="J17" t="str">
        <f t="shared" si="1"/>
        <v>Error: Should be None</v>
      </c>
      <c r="K17">
        <v>10</v>
      </c>
      <c r="L17" s="2">
        <v>163.25</v>
      </c>
      <c r="M17" t="s">
        <v>8</v>
      </c>
    </row>
    <row r="18" spans="1:13" x14ac:dyDescent="0.35">
      <c r="A18">
        <v>17</v>
      </c>
      <c r="B18">
        <v>21</v>
      </c>
      <c r="C1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8" t="s">
        <v>5</v>
      </c>
      <c r="E18" s="1">
        <v>45083</v>
      </c>
      <c r="F18" s="1" t="str">
        <f t="shared" si="0"/>
        <v>June</v>
      </c>
      <c r="G18" t="s">
        <v>19</v>
      </c>
      <c r="H18" t="s">
        <v>14</v>
      </c>
      <c r="I18" t="s">
        <v>20</v>
      </c>
      <c r="J18" t="str">
        <f t="shared" si="1"/>
        <v>Error: Should be None</v>
      </c>
      <c r="K18">
        <v>0</v>
      </c>
      <c r="L18" s="2">
        <v>73.7</v>
      </c>
      <c r="M18" t="s">
        <v>16</v>
      </c>
    </row>
    <row r="19" spans="1:13" x14ac:dyDescent="0.35">
      <c r="A19">
        <v>18</v>
      </c>
      <c r="B19">
        <v>8</v>
      </c>
      <c r="C19" t="str">
        <f>IF(Hospital[[#This Row],[Age]]&lt;=12,"Child",
IF(Hospital[[#This Row],[Age]]&lt;=19,"Teen",
IF(Hospital[[#This Row],[Age]]&lt;=35,"Young Adult",
IF(Hospital[[#This Row],[Age]]&lt;=59,"Adult",
"Senior"))))</f>
        <v>Child</v>
      </c>
      <c r="D19" t="s">
        <v>5</v>
      </c>
      <c r="E19" s="1">
        <v>45241</v>
      </c>
      <c r="F19" s="1" t="str">
        <f t="shared" si="0"/>
        <v>November</v>
      </c>
      <c r="G19" t="s">
        <v>11</v>
      </c>
      <c r="H19" t="s">
        <v>17</v>
      </c>
      <c r="I19" t="s">
        <v>15</v>
      </c>
      <c r="J19" t="str">
        <f t="shared" si="1"/>
        <v>Error: Should be None</v>
      </c>
      <c r="K19">
        <v>7</v>
      </c>
      <c r="L19" s="2">
        <v>411.69</v>
      </c>
      <c r="M19" t="s">
        <v>8</v>
      </c>
    </row>
    <row r="20" spans="1:13" x14ac:dyDescent="0.35">
      <c r="A20">
        <v>19</v>
      </c>
      <c r="B20">
        <v>61</v>
      </c>
      <c r="C20" t="str">
        <f>IF(Hospital[[#This Row],[Age]]&lt;=12,"Child",
IF(Hospital[[#This Row],[Age]]&lt;=19,"Teen",
IF(Hospital[[#This Row],[Age]]&lt;=35,"Young Adult",
IF(Hospital[[#This Row],[Age]]&lt;=59,"Adult",
"Senior"))))</f>
        <v>Senior</v>
      </c>
      <c r="D20" t="s">
        <v>5</v>
      </c>
      <c r="E20" s="1">
        <v>45058</v>
      </c>
      <c r="F20" s="1" t="str">
        <f t="shared" si="0"/>
        <v>May</v>
      </c>
      <c r="G20" t="s">
        <v>19</v>
      </c>
      <c r="H20" t="s">
        <v>7</v>
      </c>
      <c r="I20" t="s">
        <v>3</v>
      </c>
      <c r="J20" t="str">
        <f t="shared" si="1"/>
        <v>Error: Should be None</v>
      </c>
      <c r="K20">
        <v>8</v>
      </c>
      <c r="L20" s="2">
        <v>438.77</v>
      </c>
      <c r="M20" t="s">
        <v>10</v>
      </c>
    </row>
    <row r="21" spans="1:13" x14ac:dyDescent="0.35">
      <c r="A21">
        <v>20</v>
      </c>
      <c r="B21">
        <v>26</v>
      </c>
      <c r="C2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1" t="s">
        <v>0</v>
      </c>
      <c r="E21" s="1">
        <v>45143</v>
      </c>
      <c r="F21" s="1" t="str">
        <f t="shared" si="0"/>
        <v>August</v>
      </c>
      <c r="G21" t="s">
        <v>6</v>
      </c>
      <c r="H21" t="s">
        <v>9</v>
      </c>
      <c r="I21" t="s">
        <v>3</v>
      </c>
      <c r="J21" t="str">
        <f t="shared" si="1"/>
        <v>Error: Should be None</v>
      </c>
      <c r="K21">
        <v>10</v>
      </c>
      <c r="L21" s="2">
        <v>331.94</v>
      </c>
      <c r="M21" t="s">
        <v>10</v>
      </c>
    </row>
    <row r="22" spans="1:13" x14ac:dyDescent="0.35">
      <c r="A22">
        <v>21</v>
      </c>
      <c r="B22">
        <v>16</v>
      </c>
      <c r="C22" t="str">
        <f>IF(Hospital[[#This Row],[Age]]&lt;=12,"Child",
IF(Hospital[[#This Row],[Age]]&lt;=19,"Teen",
IF(Hospital[[#This Row],[Age]]&lt;=35,"Young Adult",
IF(Hospital[[#This Row],[Age]]&lt;=59,"Adult",
"Senior"))))</f>
        <v>Teen</v>
      </c>
      <c r="D22" t="s">
        <v>5</v>
      </c>
      <c r="E22" s="1">
        <v>45456</v>
      </c>
      <c r="F22" s="1" t="str">
        <f t="shared" si="0"/>
        <v>June</v>
      </c>
      <c r="G22" t="s">
        <v>1</v>
      </c>
      <c r="H22" t="s">
        <v>12</v>
      </c>
      <c r="I22" t="s">
        <v>15</v>
      </c>
      <c r="J22" t="str">
        <f t="shared" si="1"/>
        <v>Error: Should be None</v>
      </c>
      <c r="K22">
        <v>5</v>
      </c>
      <c r="L22" s="2">
        <v>30.1</v>
      </c>
      <c r="M22" t="s">
        <v>8</v>
      </c>
    </row>
    <row r="23" spans="1:13" x14ac:dyDescent="0.35">
      <c r="A23">
        <v>22</v>
      </c>
      <c r="B23">
        <v>1</v>
      </c>
      <c r="C23" t="str">
        <f>IF(Hospital[[#This Row],[Age]]&lt;=12,"Child",
IF(Hospital[[#This Row],[Age]]&lt;=19,"Teen",
IF(Hospital[[#This Row],[Age]]&lt;=35,"Young Adult",
IF(Hospital[[#This Row],[Age]]&lt;=59,"Adult",
"Senior"))))</f>
        <v>Child</v>
      </c>
      <c r="D23" t="s">
        <v>5</v>
      </c>
      <c r="E23" s="1">
        <v>45529</v>
      </c>
      <c r="F23" s="1" t="str">
        <f t="shared" si="0"/>
        <v>August</v>
      </c>
      <c r="G23" t="s">
        <v>11</v>
      </c>
      <c r="H23" t="s">
        <v>17</v>
      </c>
      <c r="I23" t="s">
        <v>13</v>
      </c>
      <c r="J23" t="str">
        <f t="shared" si="1"/>
        <v>Error: Should be None</v>
      </c>
      <c r="K23">
        <v>1</v>
      </c>
      <c r="L23" s="2">
        <v>454.6</v>
      </c>
      <c r="M23" t="s">
        <v>16</v>
      </c>
    </row>
    <row r="24" spans="1:13" x14ac:dyDescent="0.35">
      <c r="A24">
        <v>23</v>
      </c>
      <c r="B24">
        <v>31</v>
      </c>
      <c r="C2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4" t="s">
        <v>0</v>
      </c>
      <c r="E24" s="1">
        <v>44999</v>
      </c>
      <c r="F24" s="1" t="str">
        <f t="shared" si="0"/>
        <v>March</v>
      </c>
      <c r="G24" t="s">
        <v>6</v>
      </c>
      <c r="H24" t="s">
        <v>9</v>
      </c>
      <c r="I24" t="s">
        <v>3</v>
      </c>
      <c r="J24" t="str">
        <f t="shared" si="1"/>
        <v>Error: Should be None</v>
      </c>
      <c r="K24">
        <v>3</v>
      </c>
      <c r="L24" s="2">
        <v>278.83</v>
      </c>
      <c r="M24" t="s">
        <v>10</v>
      </c>
    </row>
    <row r="25" spans="1:13" x14ac:dyDescent="0.35">
      <c r="A25">
        <v>24</v>
      </c>
      <c r="B25">
        <v>53</v>
      </c>
      <c r="C25" t="str">
        <f>IF(Hospital[[#This Row],[Age]]&lt;=12,"Child",
IF(Hospital[[#This Row],[Age]]&lt;=19,"Teen",
IF(Hospital[[#This Row],[Age]]&lt;=35,"Young Adult",
IF(Hospital[[#This Row],[Age]]&lt;=59,"Adult",
"Senior"))))</f>
        <v>Adult</v>
      </c>
      <c r="D25" t="s">
        <v>5</v>
      </c>
      <c r="E25" s="1">
        <v>45175</v>
      </c>
      <c r="F25" s="1" t="str">
        <f t="shared" si="0"/>
        <v>September</v>
      </c>
      <c r="G25" t="s">
        <v>11</v>
      </c>
      <c r="H25" t="s">
        <v>12</v>
      </c>
      <c r="I25" t="s">
        <v>15</v>
      </c>
      <c r="J25" t="str">
        <f t="shared" si="1"/>
        <v>Error: Should be None</v>
      </c>
      <c r="K25">
        <v>10</v>
      </c>
      <c r="L25" s="2">
        <v>226.9</v>
      </c>
      <c r="M25" t="s">
        <v>10</v>
      </c>
    </row>
    <row r="26" spans="1:13" x14ac:dyDescent="0.35">
      <c r="A26">
        <v>25</v>
      </c>
      <c r="B26">
        <v>7</v>
      </c>
      <c r="C26" t="str">
        <f>IF(Hospital[[#This Row],[Age]]&lt;=12,"Child",
IF(Hospital[[#This Row],[Age]]&lt;=19,"Teen",
IF(Hospital[[#This Row],[Age]]&lt;=35,"Young Adult",
IF(Hospital[[#This Row],[Age]]&lt;=59,"Adult",
"Senior"))))</f>
        <v>Child</v>
      </c>
      <c r="D26" t="s">
        <v>5</v>
      </c>
      <c r="E26" s="1">
        <v>45347</v>
      </c>
      <c r="F26" s="1" t="str">
        <f t="shared" si="0"/>
        <v>February</v>
      </c>
      <c r="G26" t="s">
        <v>11</v>
      </c>
      <c r="H26" t="s">
        <v>12</v>
      </c>
      <c r="I26" t="s">
        <v>20</v>
      </c>
      <c r="J26" t="str">
        <f t="shared" si="1"/>
        <v>Error: Should be None</v>
      </c>
      <c r="K26">
        <v>5</v>
      </c>
      <c r="L26" s="2">
        <v>404.28</v>
      </c>
      <c r="M26" t="s">
        <v>4</v>
      </c>
    </row>
    <row r="27" spans="1:13" x14ac:dyDescent="0.35">
      <c r="A27">
        <v>26</v>
      </c>
      <c r="B27">
        <v>25</v>
      </c>
      <c r="C27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7" t="s">
        <v>0</v>
      </c>
      <c r="E27" s="1">
        <v>45181</v>
      </c>
      <c r="F27" s="1" t="str">
        <f t="shared" si="0"/>
        <v>September</v>
      </c>
      <c r="G27" t="s">
        <v>1</v>
      </c>
      <c r="H27" t="s">
        <v>17</v>
      </c>
      <c r="I27" t="s">
        <v>20</v>
      </c>
      <c r="J27" t="str">
        <f t="shared" si="1"/>
        <v>Error: Should be None</v>
      </c>
      <c r="K27">
        <v>2</v>
      </c>
      <c r="L27" s="2">
        <v>153.69999999999999</v>
      </c>
      <c r="M27" t="s">
        <v>8</v>
      </c>
    </row>
    <row r="28" spans="1:13" x14ac:dyDescent="0.35">
      <c r="A28">
        <v>27</v>
      </c>
      <c r="B28">
        <v>71</v>
      </c>
      <c r="C28" t="str">
        <f>IF(Hospital[[#This Row],[Age]]&lt;=12,"Child",
IF(Hospital[[#This Row],[Age]]&lt;=19,"Teen",
IF(Hospital[[#This Row],[Age]]&lt;=35,"Young Adult",
IF(Hospital[[#This Row],[Age]]&lt;=59,"Adult",
"Senior"))))</f>
        <v>Senior</v>
      </c>
      <c r="D28" t="s">
        <v>5</v>
      </c>
      <c r="E28" s="1">
        <v>45004</v>
      </c>
      <c r="F28" s="1" t="str">
        <f t="shared" si="0"/>
        <v>March</v>
      </c>
      <c r="G28" t="s">
        <v>11</v>
      </c>
      <c r="H28" t="s">
        <v>12</v>
      </c>
      <c r="I28" t="s">
        <v>3</v>
      </c>
      <c r="J28" t="str">
        <f t="shared" si="1"/>
        <v>Error: Should be None</v>
      </c>
      <c r="K28">
        <v>0</v>
      </c>
      <c r="L28" s="2">
        <v>485.12</v>
      </c>
      <c r="M28" t="s">
        <v>8</v>
      </c>
    </row>
    <row r="29" spans="1:13" x14ac:dyDescent="0.35">
      <c r="A29">
        <v>28</v>
      </c>
      <c r="B29">
        <v>63</v>
      </c>
      <c r="C29" t="str">
        <f>IF(Hospital[[#This Row],[Age]]&lt;=12,"Child",
IF(Hospital[[#This Row],[Age]]&lt;=19,"Teen",
IF(Hospital[[#This Row],[Age]]&lt;=35,"Young Adult",
IF(Hospital[[#This Row],[Age]]&lt;=59,"Adult",
"Senior"))))</f>
        <v>Senior</v>
      </c>
      <c r="D29" t="s">
        <v>0</v>
      </c>
      <c r="E29" s="1">
        <v>45097</v>
      </c>
      <c r="F29" s="1" t="str">
        <f t="shared" si="0"/>
        <v>June</v>
      </c>
      <c r="G29" t="s">
        <v>1</v>
      </c>
      <c r="H29" t="s">
        <v>12</v>
      </c>
      <c r="I29" t="s">
        <v>20</v>
      </c>
      <c r="J29" t="str">
        <f t="shared" si="1"/>
        <v>Error: Should be None</v>
      </c>
      <c r="K29">
        <v>0</v>
      </c>
      <c r="L29" s="2">
        <v>99.03</v>
      </c>
      <c r="M29" t="s">
        <v>4</v>
      </c>
    </row>
    <row r="30" spans="1:13" x14ac:dyDescent="0.35">
      <c r="A30">
        <v>29</v>
      </c>
      <c r="B30">
        <v>59</v>
      </c>
      <c r="C30" t="str">
        <f>IF(Hospital[[#This Row],[Age]]&lt;=12,"Child",
IF(Hospital[[#This Row],[Age]]&lt;=19,"Teen",
IF(Hospital[[#This Row],[Age]]&lt;=35,"Young Adult",
IF(Hospital[[#This Row],[Age]]&lt;=59,"Adult",
"Senior"))))</f>
        <v>Adult</v>
      </c>
      <c r="D30" t="s">
        <v>0</v>
      </c>
      <c r="E30" s="1">
        <v>45326</v>
      </c>
      <c r="F30" s="1" t="str">
        <f t="shared" si="0"/>
        <v>February</v>
      </c>
      <c r="G30" t="s">
        <v>6</v>
      </c>
      <c r="H30" t="s">
        <v>14</v>
      </c>
      <c r="I30" t="s">
        <v>3</v>
      </c>
      <c r="J30" t="str">
        <f t="shared" si="1"/>
        <v>Error: Should be None</v>
      </c>
      <c r="K30">
        <v>10</v>
      </c>
      <c r="L30" s="2">
        <v>364.84</v>
      </c>
      <c r="M30" t="s">
        <v>8</v>
      </c>
    </row>
    <row r="31" spans="1:13" x14ac:dyDescent="0.35">
      <c r="A31">
        <v>30</v>
      </c>
      <c r="B31">
        <v>28</v>
      </c>
      <c r="C3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1" t="s">
        <v>5</v>
      </c>
      <c r="E31" s="1">
        <v>45121</v>
      </c>
      <c r="F31" s="1" t="str">
        <f t="shared" si="0"/>
        <v>July</v>
      </c>
      <c r="G31" t="s">
        <v>11</v>
      </c>
      <c r="H31" t="s">
        <v>14</v>
      </c>
      <c r="I31" t="s">
        <v>18</v>
      </c>
      <c r="J31" t="str">
        <f t="shared" si="1"/>
        <v>Error: Should be None</v>
      </c>
      <c r="K31">
        <v>0</v>
      </c>
      <c r="L31" s="2">
        <v>44.07</v>
      </c>
      <c r="M31" t="s">
        <v>10</v>
      </c>
    </row>
    <row r="32" spans="1:13" x14ac:dyDescent="0.35">
      <c r="A32">
        <v>31</v>
      </c>
      <c r="B32">
        <v>21</v>
      </c>
      <c r="C3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2" t="s">
        <v>5</v>
      </c>
      <c r="E32" s="1">
        <v>45441</v>
      </c>
      <c r="F32" s="1" t="str">
        <f t="shared" si="0"/>
        <v>May</v>
      </c>
      <c r="G32" t="s">
        <v>11</v>
      </c>
      <c r="H32" t="s">
        <v>9</v>
      </c>
      <c r="I32" t="s">
        <v>3</v>
      </c>
      <c r="J32" t="str">
        <f t="shared" si="1"/>
        <v>Error: Should be None</v>
      </c>
      <c r="K32">
        <v>2</v>
      </c>
      <c r="L32" s="2">
        <v>52.89</v>
      </c>
      <c r="M32" t="s">
        <v>4</v>
      </c>
    </row>
    <row r="33" spans="1:13" x14ac:dyDescent="0.35">
      <c r="A33">
        <v>32</v>
      </c>
      <c r="B33">
        <v>52</v>
      </c>
      <c r="C33" t="str">
        <f>IF(Hospital[[#This Row],[Age]]&lt;=12,"Child",
IF(Hospital[[#This Row],[Age]]&lt;=19,"Teen",
IF(Hospital[[#This Row],[Age]]&lt;=35,"Young Adult",
IF(Hospital[[#This Row],[Age]]&lt;=59,"Adult",
"Senior"))))</f>
        <v>Adult</v>
      </c>
      <c r="D33" t="s">
        <v>5</v>
      </c>
      <c r="E33" s="1">
        <v>45618</v>
      </c>
      <c r="F33" s="1" t="str">
        <f t="shared" si="0"/>
        <v>November</v>
      </c>
      <c r="G33" t="s">
        <v>1</v>
      </c>
      <c r="H33" t="s">
        <v>17</v>
      </c>
      <c r="I33" t="s">
        <v>3</v>
      </c>
      <c r="J33" t="str">
        <f t="shared" si="1"/>
        <v>Error: Should be None</v>
      </c>
      <c r="K33">
        <v>9</v>
      </c>
      <c r="L33" s="2">
        <v>39.08</v>
      </c>
      <c r="M33" t="s">
        <v>4</v>
      </c>
    </row>
    <row r="34" spans="1:13" x14ac:dyDescent="0.35">
      <c r="A34">
        <v>33</v>
      </c>
      <c r="B34">
        <v>75</v>
      </c>
      <c r="C34" t="str">
        <f>IF(Hospital[[#This Row],[Age]]&lt;=12,"Child",
IF(Hospital[[#This Row],[Age]]&lt;=19,"Teen",
IF(Hospital[[#This Row],[Age]]&lt;=35,"Young Adult",
IF(Hospital[[#This Row],[Age]]&lt;=59,"Adult",
"Senior"))))</f>
        <v>Senior</v>
      </c>
      <c r="D34" t="s">
        <v>0</v>
      </c>
      <c r="E34" s="1">
        <v>45356</v>
      </c>
      <c r="F34" s="1" t="str">
        <f t="shared" si="0"/>
        <v>March</v>
      </c>
      <c r="G34" t="s">
        <v>19</v>
      </c>
      <c r="H34" t="s">
        <v>7</v>
      </c>
      <c r="I34" t="s">
        <v>3</v>
      </c>
      <c r="J34" t="str">
        <f t="shared" si="1"/>
        <v>Error: Should be None</v>
      </c>
      <c r="K34">
        <v>3</v>
      </c>
      <c r="L34" s="2">
        <v>341.47</v>
      </c>
      <c r="M34" t="s">
        <v>16</v>
      </c>
    </row>
    <row r="35" spans="1:13" x14ac:dyDescent="0.35">
      <c r="A35">
        <v>34</v>
      </c>
      <c r="B35">
        <v>51</v>
      </c>
      <c r="C35" t="str">
        <f>IF(Hospital[[#This Row],[Age]]&lt;=12,"Child",
IF(Hospital[[#This Row],[Age]]&lt;=19,"Teen",
IF(Hospital[[#This Row],[Age]]&lt;=35,"Young Adult",
IF(Hospital[[#This Row],[Age]]&lt;=59,"Adult",
"Senior"))))</f>
        <v>Adult</v>
      </c>
      <c r="D35" t="s">
        <v>5</v>
      </c>
      <c r="E35" s="1">
        <v>45171</v>
      </c>
      <c r="F35" s="1" t="str">
        <f t="shared" si="0"/>
        <v>September</v>
      </c>
      <c r="G35" t="s">
        <v>19</v>
      </c>
      <c r="H35" t="s">
        <v>14</v>
      </c>
      <c r="I35" t="s">
        <v>20</v>
      </c>
      <c r="J35" t="str">
        <f t="shared" si="1"/>
        <v>Error: Should be None</v>
      </c>
      <c r="K35">
        <v>5</v>
      </c>
      <c r="L35" s="2">
        <v>465.93</v>
      </c>
      <c r="M35" t="s">
        <v>4</v>
      </c>
    </row>
    <row r="36" spans="1:13" x14ac:dyDescent="0.35">
      <c r="A36">
        <v>35</v>
      </c>
      <c r="B36">
        <v>80</v>
      </c>
      <c r="C36" t="str">
        <f>IF(Hospital[[#This Row],[Age]]&lt;=12,"Child",
IF(Hospital[[#This Row],[Age]]&lt;=19,"Teen",
IF(Hospital[[#This Row],[Age]]&lt;=35,"Young Adult",
IF(Hospital[[#This Row],[Age]]&lt;=59,"Adult",
"Senior"))))</f>
        <v>Senior</v>
      </c>
      <c r="D36" t="s">
        <v>5</v>
      </c>
      <c r="E36" s="1">
        <v>44936</v>
      </c>
      <c r="F36" s="1" t="str">
        <f t="shared" si="0"/>
        <v>January</v>
      </c>
      <c r="G36" t="s">
        <v>11</v>
      </c>
      <c r="H36" t="s">
        <v>12</v>
      </c>
      <c r="I36" t="s">
        <v>3</v>
      </c>
      <c r="J36" t="str">
        <f t="shared" si="1"/>
        <v>Error: Should be None</v>
      </c>
      <c r="K36">
        <v>3</v>
      </c>
      <c r="L36" s="2">
        <v>262.82</v>
      </c>
      <c r="M36" t="s">
        <v>8</v>
      </c>
    </row>
    <row r="37" spans="1:13" x14ac:dyDescent="0.35">
      <c r="A37">
        <v>36</v>
      </c>
      <c r="B37">
        <v>32</v>
      </c>
      <c r="C37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7" t="s">
        <v>0</v>
      </c>
      <c r="E37" s="1">
        <v>45284</v>
      </c>
      <c r="F37" s="1" t="str">
        <f t="shared" si="0"/>
        <v>December</v>
      </c>
      <c r="G37" t="s">
        <v>19</v>
      </c>
      <c r="H37" t="s">
        <v>2</v>
      </c>
      <c r="I37" t="s">
        <v>3</v>
      </c>
      <c r="J37" t="str">
        <f t="shared" si="1"/>
        <v>Error: Should be None</v>
      </c>
      <c r="K37">
        <v>2</v>
      </c>
      <c r="L37" s="2">
        <v>230.33</v>
      </c>
      <c r="M37" t="s">
        <v>16</v>
      </c>
    </row>
    <row r="38" spans="1:13" x14ac:dyDescent="0.35">
      <c r="A38">
        <v>37</v>
      </c>
      <c r="B38">
        <v>68</v>
      </c>
      <c r="C38" t="str">
        <f>IF(Hospital[[#This Row],[Age]]&lt;=12,"Child",
IF(Hospital[[#This Row],[Age]]&lt;=19,"Teen",
IF(Hospital[[#This Row],[Age]]&lt;=35,"Young Adult",
IF(Hospital[[#This Row],[Age]]&lt;=59,"Adult",
"Senior"))))</f>
        <v>Senior</v>
      </c>
      <c r="D38" t="s">
        <v>5</v>
      </c>
      <c r="E38" s="1">
        <v>45553</v>
      </c>
      <c r="F38" s="1" t="str">
        <f t="shared" si="0"/>
        <v>September</v>
      </c>
      <c r="G38" t="s">
        <v>19</v>
      </c>
      <c r="H38" t="s">
        <v>7</v>
      </c>
      <c r="I38" t="s">
        <v>3</v>
      </c>
      <c r="J38" t="str">
        <f t="shared" si="1"/>
        <v>Error: Should be None</v>
      </c>
      <c r="K38">
        <v>10</v>
      </c>
      <c r="L38" s="2">
        <v>69.72</v>
      </c>
      <c r="M38" t="s">
        <v>8</v>
      </c>
    </row>
    <row r="39" spans="1:13" x14ac:dyDescent="0.35">
      <c r="A39">
        <v>38</v>
      </c>
      <c r="B39">
        <v>14</v>
      </c>
      <c r="C39" t="str">
        <f>IF(Hospital[[#This Row],[Age]]&lt;=12,"Child",
IF(Hospital[[#This Row],[Age]]&lt;=19,"Teen",
IF(Hospital[[#This Row],[Age]]&lt;=35,"Young Adult",
IF(Hospital[[#This Row],[Age]]&lt;=59,"Adult",
"Senior"))))</f>
        <v>Teen</v>
      </c>
      <c r="D39" t="s">
        <v>5</v>
      </c>
      <c r="E39" s="1">
        <v>45197</v>
      </c>
      <c r="F39" s="1" t="str">
        <f t="shared" si="0"/>
        <v>September</v>
      </c>
      <c r="G39" t="s">
        <v>19</v>
      </c>
      <c r="H39" t="s">
        <v>2</v>
      </c>
      <c r="I39" t="s">
        <v>3</v>
      </c>
      <c r="J39" t="str">
        <f t="shared" si="1"/>
        <v>Error: Should be None</v>
      </c>
      <c r="K39">
        <v>4</v>
      </c>
      <c r="L39" s="2">
        <v>310.32</v>
      </c>
      <c r="M39" t="s">
        <v>16</v>
      </c>
    </row>
    <row r="40" spans="1:13" x14ac:dyDescent="0.35">
      <c r="A40">
        <v>39</v>
      </c>
      <c r="B40">
        <v>82</v>
      </c>
      <c r="C40" t="str">
        <f>IF(Hospital[[#This Row],[Age]]&lt;=12,"Child",
IF(Hospital[[#This Row],[Age]]&lt;=19,"Teen",
IF(Hospital[[#This Row],[Age]]&lt;=35,"Young Adult",
IF(Hospital[[#This Row],[Age]]&lt;=59,"Adult",
"Senior"))))</f>
        <v>Senior</v>
      </c>
      <c r="D40" t="s">
        <v>0</v>
      </c>
      <c r="E40" s="1">
        <v>45135</v>
      </c>
      <c r="F40" s="1" t="str">
        <f t="shared" si="0"/>
        <v>July</v>
      </c>
      <c r="G40" t="s">
        <v>6</v>
      </c>
      <c r="H40" t="s">
        <v>7</v>
      </c>
      <c r="I40" t="s">
        <v>3</v>
      </c>
      <c r="J40" t="str">
        <f t="shared" si="1"/>
        <v>Error: Should be None</v>
      </c>
      <c r="K40">
        <v>4</v>
      </c>
      <c r="L40" s="2">
        <v>454.56</v>
      </c>
      <c r="M40" t="s">
        <v>4</v>
      </c>
    </row>
    <row r="41" spans="1:13" x14ac:dyDescent="0.35">
      <c r="A41">
        <v>40</v>
      </c>
      <c r="B41">
        <v>55</v>
      </c>
      <c r="C41" t="str">
        <f>IF(Hospital[[#This Row],[Age]]&lt;=12,"Child",
IF(Hospital[[#This Row],[Age]]&lt;=19,"Teen",
IF(Hospital[[#This Row],[Age]]&lt;=35,"Young Adult",
IF(Hospital[[#This Row],[Age]]&lt;=59,"Adult",
"Senior"))))</f>
        <v>Adult</v>
      </c>
      <c r="D41" t="s">
        <v>0</v>
      </c>
      <c r="E41" s="1">
        <v>45021</v>
      </c>
      <c r="F41" s="1" t="str">
        <f t="shared" si="0"/>
        <v>April</v>
      </c>
      <c r="G41" t="s">
        <v>11</v>
      </c>
      <c r="H41" t="s">
        <v>7</v>
      </c>
      <c r="I41" t="s">
        <v>3</v>
      </c>
      <c r="J41" t="str">
        <f t="shared" si="1"/>
        <v>Error: Should be None</v>
      </c>
      <c r="K41">
        <v>0</v>
      </c>
      <c r="L41" s="2">
        <v>180.11</v>
      </c>
      <c r="M41" t="s">
        <v>8</v>
      </c>
    </row>
    <row r="42" spans="1:13" x14ac:dyDescent="0.35">
      <c r="A42">
        <v>41</v>
      </c>
      <c r="B42">
        <v>21</v>
      </c>
      <c r="C4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2" t="s">
        <v>0</v>
      </c>
      <c r="E42" s="1">
        <v>45579</v>
      </c>
      <c r="F42" s="1" t="str">
        <f t="shared" si="0"/>
        <v>October</v>
      </c>
      <c r="G42" t="s">
        <v>6</v>
      </c>
      <c r="H42" t="s">
        <v>14</v>
      </c>
      <c r="I42" t="s">
        <v>3</v>
      </c>
      <c r="J42" t="str">
        <f t="shared" si="1"/>
        <v>Error: Should be None</v>
      </c>
      <c r="K42">
        <v>0</v>
      </c>
      <c r="L42" s="2">
        <v>73.7</v>
      </c>
      <c r="M42" t="s">
        <v>8</v>
      </c>
    </row>
    <row r="43" spans="1:13" x14ac:dyDescent="0.35">
      <c r="A43">
        <v>42</v>
      </c>
      <c r="B43">
        <v>48</v>
      </c>
      <c r="C43" t="str">
        <f>IF(Hospital[[#This Row],[Age]]&lt;=12,"Child",
IF(Hospital[[#This Row],[Age]]&lt;=19,"Teen",
IF(Hospital[[#This Row],[Age]]&lt;=35,"Young Adult",
IF(Hospital[[#This Row],[Age]]&lt;=59,"Adult",
"Senior"))))</f>
        <v>Adult</v>
      </c>
      <c r="D43" t="s">
        <v>5</v>
      </c>
      <c r="E43" s="1">
        <v>45485</v>
      </c>
      <c r="F43" s="1" t="str">
        <f t="shared" si="0"/>
        <v>July</v>
      </c>
      <c r="G43" t="s">
        <v>6</v>
      </c>
      <c r="H43" t="s">
        <v>2</v>
      </c>
      <c r="I43" t="s">
        <v>3</v>
      </c>
      <c r="J43" t="str">
        <f t="shared" si="1"/>
        <v>Error: Should be None</v>
      </c>
      <c r="K43">
        <v>2</v>
      </c>
      <c r="L43" s="2">
        <v>40.08</v>
      </c>
      <c r="M43" t="s">
        <v>16</v>
      </c>
    </row>
    <row r="44" spans="1:13" x14ac:dyDescent="0.35">
      <c r="A44">
        <v>43</v>
      </c>
      <c r="B44">
        <v>27</v>
      </c>
      <c r="C4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4" t="s">
        <v>5</v>
      </c>
      <c r="E44" s="1">
        <v>44967</v>
      </c>
      <c r="F44" s="1" t="str">
        <f t="shared" si="0"/>
        <v>February</v>
      </c>
      <c r="G44" t="s">
        <v>11</v>
      </c>
      <c r="H44" t="s">
        <v>14</v>
      </c>
      <c r="I44" t="s">
        <v>18</v>
      </c>
      <c r="J44" t="str">
        <f t="shared" si="1"/>
        <v>Error: Should be None</v>
      </c>
      <c r="K44">
        <v>8</v>
      </c>
      <c r="L44" s="2">
        <v>444.38</v>
      </c>
      <c r="M44" t="s">
        <v>10</v>
      </c>
    </row>
    <row r="45" spans="1:13" x14ac:dyDescent="0.35">
      <c r="A45">
        <v>44</v>
      </c>
      <c r="B45">
        <v>20</v>
      </c>
      <c r="C4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5" t="s">
        <v>5</v>
      </c>
      <c r="E45" s="1">
        <v>45562</v>
      </c>
      <c r="F45" s="1" t="str">
        <f t="shared" si="0"/>
        <v>September</v>
      </c>
      <c r="G45" t="s">
        <v>1</v>
      </c>
      <c r="H45" t="s">
        <v>7</v>
      </c>
      <c r="I45" t="s">
        <v>3</v>
      </c>
      <c r="J45" t="str">
        <f t="shared" si="1"/>
        <v>Error: Should be None</v>
      </c>
      <c r="K45">
        <v>2</v>
      </c>
      <c r="L45" s="2">
        <v>443.08</v>
      </c>
      <c r="M45" t="s">
        <v>4</v>
      </c>
    </row>
    <row r="46" spans="1:13" x14ac:dyDescent="0.35">
      <c r="A46">
        <v>45</v>
      </c>
      <c r="B46">
        <v>43</v>
      </c>
      <c r="C46" t="str">
        <f>IF(Hospital[[#This Row],[Age]]&lt;=12,"Child",
IF(Hospital[[#This Row],[Age]]&lt;=19,"Teen",
IF(Hospital[[#This Row],[Age]]&lt;=35,"Young Adult",
IF(Hospital[[#This Row],[Age]]&lt;=59,"Adult",
"Senior"))))</f>
        <v>Adult</v>
      </c>
      <c r="D46" t="s">
        <v>0</v>
      </c>
      <c r="E46" s="1">
        <v>45110</v>
      </c>
      <c r="F46" s="1" t="str">
        <f t="shared" si="0"/>
        <v>July</v>
      </c>
      <c r="G46" t="s">
        <v>1</v>
      </c>
      <c r="H46" t="s">
        <v>7</v>
      </c>
      <c r="I46" t="s">
        <v>3</v>
      </c>
      <c r="J46" t="str">
        <f t="shared" si="1"/>
        <v>Error: Should be None</v>
      </c>
      <c r="K46">
        <v>4</v>
      </c>
      <c r="L46" s="2">
        <v>96.41</v>
      </c>
      <c r="M46" t="s">
        <v>4</v>
      </c>
    </row>
    <row r="47" spans="1:13" x14ac:dyDescent="0.35">
      <c r="A47">
        <v>46</v>
      </c>
      <c r="B47">
        <v>61</v>
      </c>
      <c r="C47" t="str">
        <f>IF(Hospital[[#This Row],[Age]]&lt;=12,"Child",
IF(Hospital[[#This Row],[Age]]&lt;=19,"Teen",
IF(Hospital[[#This Row],[Age]]&lt;=35,"Young Adult",
IF(Hospital[[#This Row],[Age]]&lt;=59,"Adult",
"Senior"))))</f>
        <v>Senior</v>
      </c>
      <c r="D47" t="s">
        <v>5</v>
      </c>
      <c r="E47" s="1">
        <v>45318</v>
      </c>
      <c r="F47" s="1" t="str">
        <f t="shared" si="0"/>
        <v>January</v>
      </c>
      <c r="G47" t="s">
        <v>1</v>
      </c>
      <c r="H47" t="s">
        <v>2</v>
      </c>
      <c r="I47" t="s">
        <v>3</v>
      </c>
      <c r="J47" t="str">
        <f t="shared" si="1"/>
        <v>Error: Should be None</v>
      </c>
      <c r="K47">
        <v>7</v>
      </c>
      <c r="L47" s="2">
        <v>187.84</v>
      </c>
      <c r="M47" t="s">
        <v>8</v>
      </c>
    </row>
    <row r="48" spans="1:13" x14ac:dyDescent="0.35">
      <c r="A48">
        <v>47</v>
      </c>
      <c r="B48">
        <v>85</v>
      </c>
      <c r="C48" t="str">
        <f>IF(Hospital[[#This Row],[Age]]&lt;=12,"Child",
IF(Hospital[[#This Row],[Age]]&lt;=19,"Teen",
IF(Hospital[[#This Row],[Age]]&lt;=35,"Young Adult",
IF(Hospital[[#This Row],[Age]]&lt;=59,"Adult",
"Senior"))))</f>
        <v>Senior</v>
      </c>
      <c r="D48" t="s">
        <v>5</v>
      </c>
      <c r="E48" s="1">
        <v>45155</v>
      </c>
      <c r="F48" s="1" t="str">
        <f t="shared" si="0"/>
        <v>August</v>
      </c>
      <c r="G48" t="s">
        <v>6</v>
      </c>
      <c r="H48" t="s">
        <v>2</v>
      </c>
      <c r="I48" t="s">
        <v>3</v>
      </c>
      <c r="J48" t="str">
        <f t="shared" si="1"/>
        <v>Error: Should be None</v>
      </c>
      <c r="K48">
        <v>5</v>
      </c>
      <c r="L48" s="2">
        <v>153.72999999999999</v>
      </c>
      <c r="M48" t="s">
        <v>4</v>
      </c>
    </row>
    <row r="49" spans="1:13" x14ac:dyDescent="0.35">
      <c r="A49">
        <v>48</v>
      </c>
      <c r="B49">
        <v>83</v>
      </c>
      <c r="C49" t="str">
        <f>IF(Hospital[[#This Row],[Age]]&lt;=12,"Child",
IF(Hospital[[#This Row],[Age]]&lt;=19,"Teen",
IF(Hospital[[#This Row],[Age]]&lt;=35,"Young Adult",
IF(Hospital[[#This Row],[Age]]&lt;=59,"Adult",
"Senior"))))</f>
        <v>Senior</v>
      </c>
      <c r="D49" t="s">
        <v>0</v>
      </c>
      <c r="E49" s="1">
        <v>45212</v>
      </c>
      <c r="F49" s="1" t="str">
        <f t="shared" si="0"/>
        <v>October</v>
      </c>
      <c r="G49" t="s">
        <v>19</v>
      </c>
      <c r="H49" t="s">
        <v>14</v>
      </c>
      <c r="I49" t="s">
        <v>15</v>
      </c>
      <c r="J49" t="str">
        <f t="shared" si="1"/>
        <v>Error: Should be None</v>
      </c>
      <c r="K49">
        <v>1</v>
      </c>
      <c r="L49" s="2">
        <v>440.98</v>
      </c>
      <c r="M49" t="s">
        <v>16</v>
      </c>
    </row>
    <row r="50" spans="1:13" x14ac:dyDescent="0.35">
      <c r="A50">
        <v>49</v>
      </c>
      <c r="B50">
        <v>34</v>
      </c>
      <c r="C5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0" t="s">
        <v>5</v>
      </c>
      <c r="E50" s="1">
        <v>45109</v>
      </c>
      <c r="F50" s="1" t="str">
        <f t="shared" si="0"/>
        <v>July</v>
      </c>
      <c r="G50" t="s">
        <v>11</v>
      </c>
      <c r="H50" t="s">
        <v>9</v>
      </c>
      <c r="I50" t="s">
        <v>3</v>
      </c>
      <c r="J50" t="str">
        <f t="shared" si="1"/>
        <v>Error: Should be None</v>
      </c>
      <c r="K50">
        <v>9</v>
      </c>
      <c r="L50" s="2">
        <v>228.59</v>
      </c>
      <c r="M50" t="s">
        <v>16</v>
      </c>
    </row>
    <row r="51" spans="1:13" x14ac:dyDescent="0.35">
      <c r="A51">
        <v>50</v>
      </c>
      <c r="B51">
        <v>66</v>
      </c>
      <c r="C51" t="str">
        <f>IF(Hospital[[#This Row],[Age]]&lt;=12,"Child",
IF(Hospital[[#This Row],[Age]]&lt;=19,"Teen",
IF(Hospital[[#This Row],[Age]]&lt;=35,"Young Adult",
IF(Hospital[[#This Row],[Age]]&lt;=59,"Adult",
"Senior"))))</f>
        <v>Senior</v>
      </c>
      <c r="D51" t="s">
        <v>5</v>
      </c>
      <c r="E51" s="1">
        <v>45373</v>
      </c>
      <c r="F51" s="1" t="str">
        <f t="shared" si="0"/>
        <v>March</v>
      </c>
      <c r="G51" t="s">
        <v>6</v>
      </c>
      <c r="H51" t="s">
        <v>9</v>
      </c>
      <c r="I51" t="s">
        <v>3</v>
      </c>
      <c r="J51" t="str">
        <f t="shared" si="1"/>
        <v>Error: Should be None</v>
      </c>
      <c r="K51">
        <v>9</v>
      </c>
      <c r="L51" s="2">
        <v>111.24</v>
      </c>
      <c r="M51" t="s">
        <v>4</v>
      </c>
    </row>
    <row r="52" spans="1:13" x14ac:dyDescent="0.35">
      <c r="A52">
        <v>51</v>
      </c>
      <c r="B52">
        <v>1</v>
      </c>
      <c r="C52" t="str">
        <f>IF(Hospital[[#This Row],[Age]]&lt;=12,"Child",
IF(Hospital[[#This Row],[Age]]&lt;=19,"Teen",
IF(Hospital[[#This Row],[Age]]&lt;=35,"Young Adult",
IF(Hospital[[#This Row],[Age]]&lt;=59,"Adult",
"Senior"))))</f>
        <v>Child</v>
      </c>
      <c r="D52" t="s">
        <v>5</v>
      </c>
      <c r="E52" s="1">
        <v>45652</v>
      </c>
      <c r="F52" s="1" t="str">
        <f t="shared" si="0"/>
        <v>December</v>
      </c>
      <c r="G52" t="s">
        <v>19</v>
      </c>
      <c r="H52" t="s">
        <v>12</v>
      </c>
      <c r="I52" t="s">
        <v>20</v>
      </c>
      <c r="J52" t="str">
        <f t="shared" si="1"/>
        <v>Error: Should be None</v>
      </c>
      <c r="K52">
        <v>1</v>
      </c>
      <c r="L52" s="2">
        <v>475.46</v>
      </c>
      <c r="M52" t="s">
        <v>16</v>
      </c>
    </row>
    <row r="53" spans="1:13" x14ac:dyDescent="0.35">
      <c r="A53">
        <v>52</v>
      </c>
      <c r="B53">
        <v>85</v>
      </c>
      <c r="C53" t="str">
        <f>IF(Hospital[[#This Row],[Age]]&lt;=12,"Child",
IF(Hospital[[#This Row],[Age]]&lt;=19,"Teen",
IF(Hospital[[#This Row],[Age]]&lt;=35,"Young Adult",
IF(Hospital[[#This Row],[Age]]&lt;=59,"Adult",
"Senior"))))</f>
        <v>Senior</v>
      </c>
      <c r="D53" t="s">
        <v>5</v>
      </c>
      <c r="E53" s="1">
        <v>45565</v>
      </c>
      <c r="F53" s="1" t="str">
        <f t="shared" si="0"/>
        <v>September</v>
      </c>
      <c r="G53" t="s">
        <v>19</v>
      </c>
      <c r="H53" t="s">
        <v>14</v>
      </c>
      <c r="I53" t="s">
        <v>3</v>
      </c>
      <c r="J53" t="str">
        <f t="shared" si="1"/>
        <v>Error: Should be None</v>
      </c>
      <c r="K53">
        <v>4</v>
      </c>
      <c r="L53" s="2">
        <v>340.11</v>
      </c>
      <c r="M53" t="s">
        <v>16</v>
      </c>
    </row>
    <row r="54" spans="1:13" x14ac:dyDescent="0.35">
      <c r="A54">
        <v>53</v>
      </c>
      <c r="B54">
        <v>38</v>
      </c>
      <c r="C54" t="str">
        <f>IF(Hospital[[#This Row],[Age]]&lt;=12,"Child",
IF(Hospital[[#This Row],[Age]]&lt;=19,"Teen",
IF(Hospital[[#This Row],[Age]]&lt;=35,"Young Adult",
IF(Hospital[[#This Row],[Age]]&lt;=59,"Adult",
"Senior"))))</f>
        <v>Adult</v>
      </c>
      <c r="D54" t="s">
        <v>5</v>
      </c>
      <c r="E54" s="1">
        <v>45339</v>
      </c>
      <c r="F54" s="1" t="str">
        <f t="shared" si="0"/>
        <v>February</v>
      </c>
      <c r="G54" t="s">
        <v>1</v>
      </c>
      <c r="H54" t="s">
        <v>7</v>
      </c>
      <c r="I54" t="s">
        <v>3</v>
      </c>
      <c r="J54" t="str">
        <f t="shared" si="1"/>
        <v>Error: Should be None</v>
      </c>
      <c r="K54">
        <v>6</v>
      </c>
      <c r="L54" s="2">
        <v>339.17</v>
      </c>
      <c r="M54" t="s">
        <v>10</v>
      </c>
    </row>
    <row r="55" spans="1:13" x14ac:dyDescent="0.35">
      <c r="A55">
        <v>54</v>
      </c>
      <c r="B55">
        <v>23</v>
      </c>
      <c r="C5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5" t="s">
        <v>0</v>
      </c>
      <c r="E55" s="1">
        <v>45620</v>
      </c>
      <c r="F55" s="1" t="str">
        <f t="shared" si="0"/>
        <v>November</v>
      </c>
      <c r="G55" t="s">
        <v>6</v>
      </c>
      <c r="H55" t="s">
        <v>7</v>
      </c>
      <c r="I55" t="s">
        <v>3</v>
      </c>
      <c r="J55" t="str">
        <f t="shared" si="1"/>
        <v>Error: Should be None</v>
      </c>
      <c r="K55">
        <v>8</v>
      </c>
      <c r="L55" s="2">
        <v>420.19</v>
      </c>
      <c r="M55" t="s">
        <v>16</v>
      </c>
    </row>
    <row r="56" spans="1:13" x14ac:dyDescent="0.35">
      <c r="A56">
        <v>55</v>
      </c>
      <c r="B56">
        <v>56</v>
      </c>
      <c r="C56" t="str">
        <f>IF(Hospital[[#This Row],[Age]]&lt;=12,"Child",
IF(Hospital[[#This Row],[Age]]&lt;=19,"Teen",
IF(Hospital[[#This Row],[Age]]&lt;=35,"Young Adult",
IF(Hospital[[#This Row],[Age]]&lt;=59,"Adult",
"Senior"))))</f>
        <v>Adult</v>
      </c>
      <c r="D56" t="s">
        <v>0</v>
      </c>
      <c r="E56" s="1">
        <v>45220</v>
      </c>
      <c r="F56" s="1" t="str">
        <f t="shared" si="0"/>
        <v>October</v>
      </c>
      <c r="G56" t="s">
        <v>6</v>
      </c>
      <c r="H56" t="s">
        <v>17</v>
      </c>
      <c r="I56" t="s">
        <v>20</v>
      </c>
      <c r="J56" t="str">
        <f t="shared" si="1"/>
        <v>Error: Should be None</v>
      </c>
      <c r="K56">
        <v>7</v>
      </c>
      <c r="L56" s="2">
        <v>344.3</v>
      </c>
      <c r="M56" t="s">
        <v>10</v>
      </c>
    </row>
    <row r="57" spans="1:13" x14ac:dyDescent="0.35">
      <c r="A57">
        <v>56</v>
      </c>
      <c r="B57">
        <v>11</v>
      </c>
      <c r="C57" t="str">
        <f>IF(Hospital[[#This Row],[Age]]&lt;=12,"Child",
IF(Hospital[[#This Row],[Age]]&lt;=19,"Teen",
IF(Hospital[[#This Row],[Age]]&lt;=35,"Young Adult",
IF(Hospital[[#This Row],[Age]]&lt;=59,"Adult",
"Senior"))))</f>
        <v>Child</v>
      </c>
      <c r="D57" t="s">
        <v>0</v>
      </c>
      <c r="E57" s="1">
        <v>45100</v>
      </c>
      <c r="F57" s="1" t="str">
        <f t="shared" si="0"/>
        <v>June</v>
      </c>
      <c r="G57" t="s">
        <v>19</v>
      </c>
      <c r="H57" t="s">
        <v>7</v>
      </c>
      <c r="I57" t="s">
        <v>3</v>
      </c>
      <c r="J57" t="str">
        <f t="shared" si="1"/>
        <v>Error: Should be None</v>
      </c>
      <c r="K57">
        <v>1</v>
      </c>
      <c r="L57" s="2">
        <v>412.84</v>
      </c>
      <c r="M57" t="s">
        <v>8</v>
      </c>
    </row>
    <row r="58" spans="1:13" x14ac:dyDescent="0.35">
      <c r="A58">
        <v>57</v>
      </c>
      <c r="B58">
        <v>29</v>
      </c>
      <c r="C5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8" t="s">
        <v>5</v>
      </c>
      <c r="E58" s="1">
        <v>45615</v>
      </c>
      <c r="F58" s="1" t="str">
        <f t="shared" si="0"/>
        <v>November</v>
      </c>
      <c r="G58" t="s">
        <v>1</v>
      </c>
      <c r="H58" t="s">
        <v>14</v>
      </c>
      <c r="I58" t="s">
        <v>15</v>
      </c>
      <c r="J58" t="str">
        <f t="shared" si="1"/>
        <v>Error: Should be None</v>
      </c>
      <c r="K58">
        <v>0</v>
      </c>
      <c r="L58" s="2">
        <v>137.52000000000001</v>
      </c>
      <c r="M58" t="s">
        <v>10</v>
      </c>
    </row>
    <row r="59" spans="1:13" x14ac:dyDescent="0.35">
      <c r="A59">
        <v>58</v>
      </c>
      <c r="B59">
        <v>59</v>
      </c>
      <c r="C59" t="str">
        <f>IF(Hospital[[#This Row],[Age]]&lt;=12,"Child",
IF(Hospital[[#This Row],[Age]]&lt;=19,"Teen",
IF(Hospital[[#This Row],[Age]]&lt;=35,"Young Adult",
IF(Hospital[[#This Row],[Age]]&lt;=59,"Adult",
"Senior"))))</f>
        <v>Adult</v>
      </c>
      <c r="D59" t="s">
        <v>0</v>
      </c>
      <c r="E59" s="1">
        <v>45552</v>
      </c>
      <c r="F59" s="1" t="str">
        <f t="shared" si="0"/>
        <v>September</v>
      </c>
      <c r="G59" t="s">
        <v>1</v>
      </c>
      <c r="H59" t="s">
        <v>2</v>
      </c>
      <c r="I59" t="s">
        <v>3</v>
      </c>
      <c r="J59" t="str">
        <f t="shared" si="1"/>
        <v>Error: Should be None</v>
      </c>
      <c r="K59">
        <v>6</v>
      </c>
      <c r="L59" s="2">
        <v>257.3</v>
      </c>
      <c r="M59" t="s">
        <v>8</v>
      </c>
    </row>
    <row r="60" spans="1:13" x14ac:dyDescent="0.35">
      <c r="A60">
        <v>59</v>
      </c>
      <c r="B60">
        <v>1</v>
      </c>
      <c r="C60" t="str">
        <f>IF(Hospital[[#This Row],[Age]]&lt;=12,"Child",
IF(Hospital[[#This Row],[Age]]&lt;=19,"Teen",
IF(Hospital[[#This Row],[Age]]&lt;=35,"Young Adult",
IF(Hospital[[#This Row],[Age]]&lt;=59,"Adult",
"Senior"))))</f>
        <v>Child</v>
      </c>
      <c r="D60" t="s">
        <v>5</v>
      </c>
      <c r="E60" s="1">
        <v>45078</v>
      </c>
      <c r="F60" s="1" t="str">
        <f t="shared" si="0"/>
        <v>June</v>
      </c>
      <c r="G60" t="s">
        <v>6</v>
      </c>
      <c r="H60" t="s">
        <v>7</v>
      </c>
      <c r="I60" t="s">
        <v>3</v>
      </c>
      <c r="J60" t="str">
        <f t="shared" si="1"/>
        <v>Error: Should be None</v>
      </c>
      <c r="K60">
        <v>3</v>
      </c>
      <c r="L60" s="2">
        <v>104.43</v>
      </c>
      <c r="M60" t="s">
        <v>10</v>
      </c>
    </row>
    <row r="61" spans="1:13" x14ac:dyDescent="0.35">
      <c r="A61">
        <v>60</v>
      </c>
      <c r="B61">
        <v>32</v>
      </c>
      <c r="C6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1" t="s">
        <v>5</v>
      </c>
      <c r="E61" s="1">
        <v>44978</v>
      </c>
      <c r="F61" s="1" t="str">
        <f t="shared" si="0"/>
        <v>February</v>
      </c>
      <c r="G61" t="s">
        <v>6</v>
      </c>
      <c r="H61" t="s">
        <v>9</v>
      </c>
      <c r="I61" t="s">
        <v>3</v>
      </c>
      <c r="J61" t="str">
        <f t="shared" si="1"/>
        <v>Error: Should be None</v>
      </c>
      <c r="K61">
        <v>2</v>
      </c>
      <c r="L61" s="2">
        <v>404.68</v>
      </c>
      <c r="M61" t="s">
        <v>16</v>
      </c>
    </row>
    <row r="62" spans="1:13" x14ac:dyDescent="0.35">
      <c r="A62">
        <v>61</v>
      </c>
      <c r="B62">
        <v>65</v>
      </c>
      <c r="C62" t="str">
        <f>IF(Hospital[[#This Row],[Age]]&lt;=12,"Child",
IF(Hospital[[#This Row],[Age]]&lt;=19,"Teen",
IF(Hospital[[#This Row],[Age]]&lt;=35,"Young Adult",
IF(Hospital[[#This Row],[Age]]&lt;=59,"Adult",
"Senior"))))</f>
        <v>Senior</v>
      </c>
      <c r="D62" t="s">
        <v>0</v>
      </c>
      <c r="E62" s="1">
        <v>45380</v>
      </c>
      <c r="F62" s="1" t="str">
        <f t="shared" si="0"/>
        <v>March</v>
      </c>
      <c r="G62" t="s">
        <v>6</v>
      </c>
      <c r="H62" t="s">
        <v>9</v>
      </c>
      <c r="I62" t="s">
        <v>3</v>
      </c>
      <c r="J62" t="str">
        <f t="shared" si="1"/>
        <v>Error: Should be None</v>
      </c>
      <c r="K62">
        <v>2</v>
      </c>
      <c r="L62" s="2">
        <v>376.95</v>
      </c>
      <c r="M62" t="s">
        <v>10</v>
      </c>
    </row>
    <row r="63" spans="1:13" x14ac:dyDescent="0.35">
      <c r="A63">
        <v>62</v>
      </c>
      <c r="B63">
        <v>32</v>
      </c>
      <c r="C6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3" t="s">
        <v>0</v>
      </c>
      <c r="E63" s="1">
        <v>45387</v>
      </c>
      <c r="F63" s="1" t="str">
        <f t="shared" si="0"/>
        <v>April</v>
      </c>
      <c r="G63" t="s">
        <v>6</v>
      </c>
      <c r="H63" t="s">
        <v>14</v>
      </c>
      <c r="I63" t="s">
        <v>13</v>
      </c>
      <c r="J63" t="str">
        <f t="shared" si="1"/>
        <v>Error: Should be None</v>
      </c>
      <c r="K63">
        <v>4</v>
      </c>
      <c r="L63" s="2">
        <v>231.14</v>
      </c>
      <c r="M63" t="s">
        <v>16</v>
      </c>
    </row>
    <row r="64" spans="1:13" x14ac:dyDescent="0.35">
      <c r="A64">
        <v>63</v>
      </c>
      <c r="B64">
        <v>43</v>
      </c>
      <c r="C64" t="str">
        <f>IF(Hospital[[#This Row],[Age]]&lt;=12,"Child",
IF(Hospital[[#This Row],[Age]]&lt;=19,"Teen",
IF(Hospital[[#This Row],[Age]]&lt;=35,"Young Adult",
IF(Hospital[[#This Row],[Age]]&lt;=59,"Adult",
"Senior"))))</f>
        <v>Adult</v>
      </c>
      <c r="D64" t="s">
        <v>0</v>
      </c>
      <c r="E64" s="1">
        <v>45167</v>
      </c>
      <c r="F64" s="1" t="str">
        <f t="shared" si="0"/>
        <v>August</v>
      </c>
      <c r="G64" t="s">
        <v>11</v>
      </c>
      <c r="H64" t="s">
        <v>14</v>
      </c>
      <c r="I64" t="s">
        <v>13</v>
      </c>
      <c r="J64" t="str">
        <f t="shared" si="1"/>
        <v>Error: Should be None</v>
      </c>
      <c r="K64">
        <v>2</v>
      </c>
      <c r="L64" s="2">
        <v>131.01</v>
      </c>
      <c r="M64" t="s">
        <v>8</v>
      </c>
    </row>
    <row r="65" spans="1:13" x14ac:dyDescent="0.35">
      <c r="A65">
        <v>64</v>
      </c>
      <c r="B65">
        <v>9</v>
      </c>
      <c r="C65" t="str">
        <f>IF(Hospital[[#This Row],[Age]]&lt;=12,"Child",
IF(Hospital[[#This Row],[Age]]&lt;=19,"Teen",
IF(Hospital[[#This Row],[Age]]&lt;=35,"Young Adult",
IF(Hospital[[#This Row],[Age]]&lt;=59,"Adult",
"Senior"))))</f>
        <v>Child</v>
      </c>
      <c r="D65" t="s">
        <v>0</v>
      </c>
      <c r="E65" s="1">
        <v>45650</v>
      </c>
      <c r="F65" s="1" t="str">
        <f t="shared" si="0"/>
        <v>December</v>
      </c>
      <c r="G65" t="s">
        <v>6</v>
      </c>
      <c r="H65" t="s">
        <v>17</v>
      </c>
      <c r="I65" t="s">
        <v>18</v>
      </c>
      <c r="J65" t="str">
        <f t="shared" si="1"/>
        <v>Error: Should be None</v>
      </c>
      <c r="K65">
        <v>8</v>
      </c>
      <c r="L65" s="2">
        <v>243.64</v>
      </c>
      <c r="M65" t="s">
        <v>4</v>
      </c>
    </row>
    <row r="66" spans="1:13" x14ac:dyDescent="0.35">
      <c r="A66">
        <v>65</v>
      </c>
      <c r="B66">
        <v>50</v>
      </c>
      <c r="C66" t="str">
        <f>IF(Hospital[[#This Row],[Age]]&lt;=12,"Child",
IF(Hospital[[#This Row],[Age]]&lt;=19,"Teen",
IF(Hospital[[#This Row],[Age]]&lt;=35,"Young Adult",
IF(Hospital[[#This Row],[Age]]&lt;=59,"Adult",
"Senior"))))</f>
        <v>Adult</v>
      </c>
      <c r="D66" t="s">
        <v>5</v>
      </c>
      <c r="E66" s="1">
        <v>45138</v>
      </c>
      <c r="F66" s="1" t="str">
        <f t="shared" si="0"/>
        <v>July</v>
      </c>
      <c r="G66" t="s">
        <v>6</v>
      </c>
      <c r="H66" t="s">
        <v>12</v>
      </c>
      <c r="I66" t="s">
        <v>20</v>
      </c>
      <c r="J66" t="str">
        <f t="shared" si="1"/>
        <v>Error: Should be None</v>
      </c>
      <c r="K66">
        <v>0</v>
      </c>
      <c r="L66" s="2">
        <v>472.52</v>
      </c>
      <c r="M66" t="s">
        <v>16</v>
      </c>
    </row>
    <row r="67" spans="1:13" x14ac:dyDescent="0.35">
      <c r="A67">
        <v>66</v>
      </c>
      <c r="B67">
        <v>69</v>
      </c>
      <c r="C67" t="str">
        <f>IF(Hospital[[#This Row],[Age]]&lt;=12,"Child",
IF(Hospital[[#This Row],[Age]]&lt;=19,"Teen",
IF(Hospital[[#This Row],[Age]]&lt;=35,"Young Adult",
IF(Hospital[[#This Row],[Age]]&lt;=59,"Adult",
"Senior"))))</f>
        <v>Senior</v>
      </c>
      <c r="D67" t="s">
        <v>5</v>
      </c>
      <c r="E67" s="1">
        <v>45326</v>
      </c>
      <c r="F67" s="1" t="str">
        <f t="shared" ref="F67:F130" si="2">TEXT(E67, "mmmm")</f>
        <v>February</v>
      </c>
      <c r="G67" t="s">
        <v>6</v>
      </c>
      <c r="H67" t="s">
        <v>12</v>
      </c>
      <c r="I67" t="s">
        <v>13</v>
      </c>
      <c r="J67" t="str">
        <f t="shared" ref="J67:J130" si="3">IF(OR(G67="UTI", G67="Pneumonia", G67="Typhoid"),
   IF(H67="None","Error: Should have antibiotics","OK"),
   IF(H67&lt;&gt;"None","Error: Should be None","OK"))</f>
        <v>Error: Should be None</v>
      </c>
      <c r="K67">
        <v>4</v>
      </c>
      <c r="L67" s="2">
        <v>229.2</v>
      </c>
      <c r="M67" t="s">
        <v>4</v>
      </c>
    </row>
    <row r="68" spans="1:13" x14ac:dyDescent="0.35">
      <c r="A68">
        <v>67</v>
      </c>
      <c r="B68">
        <v>52</v>
      </c>
      <c r="C68" t="str">
        <f>IF(Hospital[[#This Row],[Age]]&lt;=12,"Child",
IF(Hospital[[#This Row],[Age]]&lt;=19,"Teen",
IF(Hospital[[#This Row],[Age]]&lt;=35,"Young Adult",
IF(Hospital[[#This Row],[Age]]&lt;=59,"Adult",
"Senior"))))</f>
        <v>Adult</v>
      </c>
      <c r="D68" t="s">
        <v>5</v>
      </c>
      <c r="E68" s="1">
        <v>45325</v>
      </c>
      <c r="F68" s="1" t="str">
        <f t="shared" si="2"/>
        <v>February</v>
      </c>
      <c r="G68" t="s">
        <v>6</v>
      </c>
      <c r="H68" t="s">
        <v>14</v>
      </c>
      <c r="I68" t="s">
        <v>13</v>
      </c>
      <c r="J68" t="str">
        <f t="shared" si="3"/>
        <v>Error: Should be None</v>
      </c>
      <c r="K68">
        <v>9</v>
      </c>
      <c r="L68" s="2">
        <v>276.38</v>
      </c>
      <c r="M68" t="s">
        <v>10</v>
      </c>
    </row>
    <row r="69" spans="1:13" x14ac:dyDescent="0.35">
      <c r="A69">
        <v>68</v>
      </c>
      <c r="B69">
        <v>85</v>
      </c>
      <c r="C69" t="str">
        <f>IF(Hospital[[#This Row],[Age]]&lt;=12,"Child",
IF(Hospital[[#This Row],[Age]]&lt;=19,"Teen",
IF(Hospital[[#This Row],[Age]]&lt;=35,"Young Adult",
IF(Hospital[[#This Row],[Age]]&lt;=59,"Adult",
"Senior"))))</f>
        <v>Senior</v>
      </c>
      <c r="D69" t="s">
        <v>5</v>
      </c>
      <c r="E69" s="1">
        <v>45533</v>
      </c>
      <c r="F69" s="1" t="str">
        <f t="shared" si="2"/>
        <v>August</v>
      </c>
      <c r="G69" t="s">
        <v>11</v>
      </c>
      <c r="H69" t="s">
        <v>9</v>
      </c>
      <c r="I69" t="s">
        <v>3</v>
      </c>
      <c r="J69" t="str">
        <f t="shared" si="3"/>
        <v>Error: Should be None</v>
      </c>
      <c r="K69">
        <v>10</v>
      </c>
      <c r="L69" s="2">
        <v>225.73</v>
      </c>
      <c r="M69" t="s">
        <v>10</v>
      </c>
    </row>
    <row r="70" spans="1:13" x14ac:dyDescent="0.35">
      <c r="A70">
        <v>69</v>
      </c>
      <c r="B70">
        <v>34</v>
      </c>
      <c r="C7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0" t="s">
        <v>0</v>
      </c>
      <c r="E70" s="1">
        <v>45113</v>
      </c>
      <c r="F70" s="1" t="str">
        <f t="shared" si="2"/>
        <v>July</v>
      </c>
      <c r="G70" t="s">
        <v>19</v>
      </c>
      <c r="H70" t="s">
        <v>2</v>
      </c>
      <c r="I70" t="s">
        <v>3</v>
      </c>
      <c r="J70" t="str">
        <f t="shared" si="3"/>
        <v>Error: Should be None</v>
      </c>
      <c r="K70">
        <v>3</v>
      </c>
      <c r="L70" s="2">
        <v>238.26</v>
      </c>
      <c r="M70" t="s">
        <v>16</v>
      </c>
    </row>
    <row r="71" spans="1:13" x14ac:dyDescent="0.35">
      <c r="A71">
        <v>70</v>
      </c>
      <c r="B71">
        <v>54</v>
      </c>
      <c r="C71" t="str">
        <f>IF(Hospital[[#This Row],[Age]]&lt;=12,"Child",
IF(Hospital[[#This Row],[Age]]&lt;=19,"Teen",
IF(Hospital[[#This Row],[Age]]&lt;=35,"Young Adult",
IF(Hospital[[#This Row],[Age]]&lt;=59,"Adult",
"Senior"))))</f>
        <v>Adult</v>
      </c>
      <c r="D71" t="s">
        <v>0</v>
      </c>
      <c r="E71" s="1">
        <v>45315</v>
      </c>
      <c r="F71" s="1" t="str">
        <f t="shared" si="2"/>
        <v>January</v>
      </c>
      <c r="G71" t="s">
        <v>11</v>
      </c>
      <c r="H71" t="s">
        <v>14</v>
      </c>
      <c r="I71" t="s">
        <v>20</v>
      </c>
      <c r="J71" t="str">
        <f t="shared" si="3"/>
        <v>Error: Should be None</v>
      </c>
      <c r="K71">
        <v>0</v>
      </c>
      <c r="L71" s="2">
        <v>379.53</v>
      </c>
      <c r="M71" t="s">
        <v>4</v>
      </c>
    </row>
    <row r="72" spans="1:13" x14ac:dyDescent="0.35">
      <c r="A72">
        <v>71</v>
      </c>
      <c r="B72">
        <v>84</v>
      </c>
      <c r="C72" t="str">
        <f>IF(Hospital[[#This Row],[Age]]&lt;=12,"Child",
IF(Hospital[[#This Row],[Age]]&lt;=19,"Teen",
IF(Hospital[[#This Row],[Age]]&lt;=35,"Young Adult",
IF(Hospital[[#This Row],[Age]]&lt;=59,"Adult",
"Senior"))))</f>
        <v>Senior</v>
      </c>
      <c r="D72" t="s">
        <v>5</v>
      </c>
      <c r="E72" s="1">
        <v>45285</v>
      </c>
      <c r="F72" s="1" t="str">
        <f t="shared" si="2"/>
        <v>December</v>
      </c>
      <c r="G72" t="s">
        <v>11</v>
      </c>
      <c r="H72" t="s">
        <v>17</v>
      </c>
      <c r="I72" t="s">
        <v>15</v>
      </c>
      <c r="J72" t="str">
        <f t="shared" si="3"/>
        <v>Error: Should be None</v>
      </c>
      <c r="K72">
        <v>3</v>
      </c>
      <c r="L72" s="2">
        <v>115.69</v>
      </c>
      <c r="M72" t="s">
        <v>4</v>
      </c>
    </row>
    <row r="73" spans="1:13" x14ac:dyDescent="0.35">
      <c r="A73">
        <v>72</v>
      </c>
      <c r="B73">
        <v>31</v>
      </c>
      <c r="C7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3" t="s">
        <v>5</v>
      </c>
      <c r="E73" s="1">
        <v>45563</v>
      </c>
      <c r="F73" s="1" t="str">
        <f t="shared" si="2"/>
        <v>September</v>
      </c>
      <c r="G73" t="s">
        <v>6</v>
      </c>
      <c r="H73" t="s">
        <v>17</v>
      </c>
      <c r="I73" t="s">
        <v>15</v>
      </c>
      <c r="J73" t="str">
        <f t="shared" si="3"/>
        <v>Error: Should be None</v>
      </c>
      <c r="K73">
        <v>9</v>
      </c>
      <c r="L73" s="2">
        <v>474.92</v>
      </c>
      <c r="M73" t="s">
        <v>10</v>
      </c>
    </row>
    <row r="74" spans="1:13" x14ac:dyDescent="0.35">
      <c r="A74">
        <v>73</v>
      </c>
      <c r="B74">
        <v>48</v>
      </c>
      <c r="C74" t="str">
        <f>IF(Hospital[[#This Row],[Age]]&lt;=12,"Child",
IF(Hospital[[#This Row],[Age]]&lt;=19,"Teen",
IF(Hospital[[#This Row],[Age]]&lt;=35,"Young Adult",
IF(Hospital[[#This Row],[Age]]&lt;=59,"Adult",
"Senior"))))</f>
        <v>Adult</v>
      </c>
      <c r="D74" t="s">
        <v>5</v>
      </c>
      <c r="E74" s="1">
        <v>45643</v>
      </c>
      <c r="F74" s="1" t="str">
        <f t="shared" si="2"/>
        <v>December</v>
      </c>
      <c r="G74" t="s">
        <v>11</v>
      </c>
      <c r="H74" t="s">
        <v>14</v>
      </c>
      <c r="I74" t="s">
        <v>13</v>
      </c>
      <c r="J74" t="str">
        <f t="shared" si="3"/>
        <v>Error: Should be None</v>
      </c>
      <c r="K74">
        <v>4</v>
      </c>
      <c r="L74" s="2">
        <v>71.89</v>
      </c>
      <c r="M74" t="s">
        <v>4</v>
      </c>
    </row>
    <row r="75" spans="1:13" x14ac:dyDescent="0.35">
      <c r="A75">
        <v>74</v>
      </c>
      <c r="B75">
        <v>49</v>
      </c>
      <c r="C75" t="str">
        <f>IF(Hospital[[#This Row],[Age]]&lt;=12,"Child",
IF(Hospital[[#This Row],[Age]]&lt;=19,"Teen",
IF(Hospital[[#This Row],[Age]]&lt;=35,"Young Adult",
IF(Hospital[[#This Row],[Age]]&lt;=59,"Adult",
"Senior"))))</f>
        <v>Adult</v>
      </c>
      <c r="D75" t="s">
        <v>0</v>
      </c>
      <c r="E75" s="1">
        <v>45246</v>
      </c>
      <c r="F75" s="1" t="str">
        <f t="shared" si="2"/>
        <v>November</v>
      </c>
      <c r="G75" t="s">
        <v>1</v>
      </c>
      <c r="H75" t="s">
        <v>9</v>
      </c>
      <c r="I75" t="s">
        <v>3</v>
      </c>
      <c r="J75" t="str">
        <f t="shared" si="3"/>
        <v>Error: Should be None</v>
      </c>
      <c r="K75">
        <v>1</v>
      </c>
      <c r="L75" s="2">
        <v>304.20999999999998</v>
      </c>
      <c r="M75" t="s">
        <v>8</v>
      </c>
    </row>
    <row r="76" spans="1:13" x14ac:dyDescent="0.35">
      <c r="A76">
        <v>75</v>
      </c>
      <c r="B76">
        <v>39</v>
      </c>
      <c r="C76" t="str">
        <f>IF(Hospital[[#This Row],[Age]]&lt;=12,"Child",
IF(Hospital[[#This Row],[Age]]&lt;=19,"Teen",
IF(Hospital[[#This Row],[Age]]&lt;=35,"Young Adult",
IF(Hospital[[#This Row],[Age]]&lt;=59,"Adult",
"Senior"))))</f>
        <v>Adult</v>
      </c>
      <c r="D76" t="s">
        <v>5</v>
      </c>
      <c r="E76" s="1">
        <v>45031</v>
      </c>
      <c r="F76" s="1" t="str">
        <f t="shared" si="2"/>
        <v>April</v>
      </c>
      <c r="G76" t="s">
        <v>11</v>
      </c>
      <c r="H76" t="s">
        <v>7</v>
      </c>
      <c r="I76" t="s">
        <v>3</v>
      </c>
      <c r="J76" t="str">
        <f t="shared" si="3"/>
        <v>Error: Should be None</v>
      </c>
      <c r="K76">
        <v>5</v>
      </c>
      <c r="L76" s="2">
        <v>275.72000000000003</v>
      </c>
      <c r="M76" t="s">
        <v>16</v>
      </c>
    </row>
    <row r="77" spans="1:13" x14ac:dyDescent="0.35">
      <c r="A77">
        <v>76</v>
      </c>
      <c r="B77">
        <v>83</v>
      </c>
      <c r="C77" t="str">
        <f>IF(Hospital[[#This Row],[Age]]&lt;=12,"Child",
IF(Hospital[[#This Row],[Age]]&lt;=19,"Teen",
IF(Hospital[[#This Row],[Age]]&lt;=35,"Young Adult",
IF(Hospital[[#This Row],[Age]]&lt;=59,"Adult",
"Senior"))))</f>
        <v>Senior</v>
      </c>
      <c r="D77" t="s">
        <v>0</v>
      </c>
      <c r="E77" s="1">
        <v>44997</v>
      </c>
      <c r="F77" s="1" t="str">
        <f t="shared" si="2"/>
        <v>March</v>
      </c>
      <c r="G77" t="s">
        <v>11</v>
      </c>
      <c r="H77" t="s">
        <v>9</v>
      </c>
      <c r="I77" t="s">
        <v>3</v>
      </c>
      <c r="J77" t="str">
        <f t="shared" si="3"/>
        <v>Error: Should be None</v>
      </c>
      <c r="K77">
        <v>6</v>
      </c>
      <c r="L77" s="2">
        <v>414.72</v>
      </c>
      <c r="M77" t="s">
        <v>4</v>
      </c>
    </row>
    <row r="78" spans="1:13" x14ac:dyDescent="0.35">
      <c r="A78">
        <v>77</v>
      </c>
      <c r="B78">
        <v>82</v>
      </c>
      <c r="C78" t="str">
        <f>IF(Hospital[[#This Row],[Age]]&lt;=12,"Child",
IF(Hospital[[#This Row],[Age]]&lt;=19,"Teen",
IF(Hospital[[#This Row],[Age]]&lt;=35,"Young Adult",
IF(Hospital[[#This Row],[Age]]&lt;=59,"Adult",
"Senior"))))</f>
        <v>Senior</v>
      </c>
      <c r="D78" t="s">
        <v>0</v>
      </c>
      <c r="E78" s="1">
        <v>45370</v>
      </c>
      <c r="F78" s="1" t="str">
        <f t="shared" si="2"/>
        <v>March</v>
      </c>
      <c r="G78" t="s">
        <v>1</v>
      </c>
      <c r="H78" t="s">
        <v>14</v>
      </c>
      <c r="I78" t="s">
        <v>20</v>
      </c>
      <c r="J78" t="str">
        <f t="shared" si="3"/>
        <v>Error: Should be None</v>
      </c>
      <c r="K78">
        <v>2</v>
      </c>
      <c r="L78" s="2">
        <v>372.22</v>
      </c>
      <c r="M78" t="s">
        <v>16</v>
      </c>
    </row>
    <row r="79" spans="1:13" x14ac:dyDescent="0.35">
      <c r="A79">
        <v>78</v>
      </c>
      <c r="B79">
        <v>62</v>
      </c>
      <c r="C79" t="str">
        <f>IF(Hospital[[#This Row],[Age]]&lt;=12,"Child",
IF(Hospital[[#This Row],[Age]]&lt;=19,"Teen",
IF(Hospital[[#This Row],[Age]]&lt;=35,"Young Adult",
IF(Hospital[[#This Row],[Age]]&lt;=59,"Adult",
"Senior"))))</f>
        <v>Senior</v>
      </c>
      <c r="D79" t="s">
        <v>0</v>
      </c>
      <c r="E79" s="1">
        <v>45557</v>
      </c>
      <c r="F79" s="1" t="str">
        <f t="shared" si="2"/>
        <v>September</v>
      </c>
      <c r="G79" t="s">
        <v>6</v>
      </c>
      <c r="H79" t="s">
        <v>9</v>
      </c>
      <c r="I79" t="s">
        <v>3</v>
      </c>
      <c r="J79" t="str">
        <f t="shared" si="3"/>
        <v>Error: Should be None</v>
      </c>
      <c r="K79">
        <v>9</v>
      </c>
      <c r="L79" s="2">
        <v>148.83000000000001</v>
      </c>
      <c r="M79" t="s">
        <v>8</v>
      </c>
    </row>
    <row r="80" spans="1:13" x14ac:dyDescent="0.35">
      <c r="A80">
        <v>79</v>
      </c>
      <c r="B80">
        <v>58</v>
      </c>
      <c r="C80" t="str">
        <f>IF(Hospital[[#This Row],[Age]]&lt;=12,"Child",
IF(Hospital[[#This Row],[Age]]&lt;=19,"Teen",
IF(Hospital[[#This Row],[Age]]&lt;=35,"Young Adult",
IF(Hospital[[#This Row],[Age]]&lt;=59,"Adult",
"Senior"))))</f>
        <v>Adult</v>
      </c>
      <c r="D80" t="s">
        <v>5</v>
      </c>
      <c r="E80" s="1">
        <v>45015</v>
      </c>
      <c r="F80" s="1" t="str">
        <f t="shared" si="2"/>
        <v>March</v>
      </c>
      <c r="G80" t="s">
        <v>6</v>
      </c>
      <c r="H80" t="s">
        <v>14</v>
      </c>
      <c r="I80" t="s">
        <v>3</v>
      </c>
      <c r="J80" t="str">
        <f t="shared" si="3"/>
        <v>Error: Should be None</v>
      </c>
      <c r="K80">
        <v>9</v>
      </c>
      <c r="L80" s="2">
        <v>340.73</v>
      </c>
      <c r="M80" t="s">
        <v>16</v>
      </c>
    </row>
    <row r="81" spans="1:13" x14ac:dyDescent="0.35">
      <c r="A81">
        <v>80</v>
      </c>
      <c r="B81">
        <v>42</v>
      </c>
      <c r="C81" t="str">
        <f>IF(Hospital[[#This Row],[Age]]&lt;=12,"Child",
IF(Hospital[[#This Row],[Age]]&lt;=19,"Teen",
IF(Hospital[[#This Row],[Age]]&lt;=35,"Young Adult",
IF(Hospital[[#This Row],[Age]]&lt;=59,"Adult",
"Senior"))))</f>
        <v>Adult</v>
      </c>
      <c r="D81" t="s">
        <v>5</v>
      </c>
      <c r="E81" s="1">
        <v>44956</v>
      </c>
      <c r="F81" s="1" t="str">
        <f t="shared" si="2"/>
        <v>January</v>
      </c>
      <c r="G81" t="s">
        <v>6</v>
      </c>
      <c r="H81" t="s">
        <v>12</v>
      </c>
      <c r="I81" t="s">
        <v>13</v>
      </c>
      <c r="J81" t="str">
        <f t="shared" si="3"/>
        <v>Error: Should be None</v>
      </c>
      <c r="K81">
        <v>5</v>
      </c>
      <c r="L81" s="2">
        <v>402.96</v>
      </c>
      <c r="M81" t="s">
        <v>16</v>
      </c>
    </row>
    <row r="82" spans="1:13" x14ac:dyDescent="0.35">
      <c r="A82">
        <v>81</v>
      </c>
      <c r="B82">
        <v>36</v>
      </c>
      <c r="C82" t="str">
        <f>IF(Hospital[[#This Row],[Age]]&lt;=12,"Child",
IF(Hospital[[#This Row],[Age]]&lt;=19,"Teen",
IF(Hospital[[#This Row],[Age]]&lt;=35,"Young Adult",
IF(Hospital[[#This Row],[Age]]&lt;=59,"Adult",
"Senior"))))</f>
        <v>Adult</v>
      </c>
      <c r="D82" t="s">
        <v>5</v>
      </c>
      <c r="E82" s="1">
        <v>45213</v>
      </c>
      <c r="F82" s="1" t="str">
        <f t="shared" si="2"/>
        <v>October</v>
      </c>
      <c r="G82" t="s">
        <v>1</v>
      </c>
      <c r="H82" t="s">
        <v>9</v>
      </c>
      <c r="I82" t="s">
        <v>3</v>
      </c>
      <c r="J82" t="str">
        <f t="shared" si="3"/>
        <v>Error: Should be None</v>
      </c>
      <c r="K82">
        <v>1</v>
      </c>
      <c r="L82" s="2">
        <v>135.85</v>
      </c>
      <c r="M82" t="s">
        <v>10</v>
      </c>
    </row>
    <row r="83" spans="1:13" x14ac:dyDescent="0.35">
      <c r="A83">
        <v>82</v>
      </c>
      <c r="B83">
        <v>31</v>
      </c>
      <c r="C8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3" t="s">
        <v>0</v>
      </c>
      <c r="E83" s="1">
        <v>45427</v>
      </c>
      <c r="F83" s="1" t="str">
        <f t="shared" si="2"/>
        <v>May</v>
      </c>
      <c r="G83" t="s">
        <v>6</v>
      </c>
      <c r="H83" t="s">
        <v>9</v>
      </c>
      <c r="I83" t="s">
        <v>3</v>
      </c>
      <c r="J83" t="str">
        <f t="shared" si="3"/>
        <v>Error: Should be None</v>
      </c>
      <c r="K83">
        <v>7</v>
      </c>
      <c r="L83" s="2">
        <v>400.61</v>
      </c>
      <c r="M83" t="s">
        <v>4</v>
      </c>
    </row>
    <row r="84" spans="1:13" x14ac:dyDescent="0.35">
      <c r="A84">
        <v>83</v>
      </c>
      <c r="B84">
        <v>52</v>
      </c>
      <c r="C84" t="str">
        <f>IF(Hospital[[#This Row],[Age]]&lt;=12,"Child",
IF(Hospital[[#This Row],[Age]]&lt;=19,"Teen",
IF(Hospital[[#This Row],[Age]]&lt;=35,"Young Adult",
IF(Hospital[[#This Row],[Age]]&lt;=59,"Adult",
"Senior"))))</f>
        <v>Adult</v>
      </c>
      <c r="D84" t="s">
        <v>5</v>
      </c>
      <c r="E84" s="1">
        <v>45228</v>
      </c>
      <c r="F84" s="1" t="str">
        <f t="shared" si="2"/>
        <v>October</v>
      </c>
      <c r="G84" t="s">
        <v>19</v>
      </c>
      <c r="H84" t="s">
        <v>17</v>
      </c>
      <c r="I84" t="s">
        <v>3</v>
      </c>
      <c r="J84" t="str">
        <f t="shared" si="3"/>
        <v>Error: Should be None</v>
      </c>
      <c r="K84">
        <v>5</v>
      </c>
      <c r="L84" s="2">
        <v>247.17</v>
      </c>
      <c r="M84" t="s">
        <v>16</v>
      </c>
    </row>
    <row r="85" spans="1:13" x14ac:dyDescent="0.35">
      <c r="A85">
        <v>84</v>
      </c>
      <c r="B85">
        <v>71</v>
      </c>
      <c r="C85" t="str">
        <f>IF(Hospital[[#This Row],[Age]]&lt;=12,"Child",
IF(Hospital[[#This Row],[Age]]&lt;=19,"Teen",
IF(Hospital[[#This Row],[Age]]&lt;=35,"Young Adult",
IF(Hospital[[#This Row],[Age]]&lt;=59,"Adult",
"Senior"))))</f>
        <v>Senior</v>
      </c>
      <c r="D85" t="s">
        <v>0</v>
      </c>
      <c r="E85" s="1">
        <v>45362</v>
      </c>
      <c r="F85" s="1" t="str">
        <f t="shared" si="2"/>
        <v>March</v>
      </c>
      <c r="G85" t="s">
        <v>19</v>
      </c>
      <c r="H85" t="s">
        <v>7</v>
      </c>
      <c r="I85" t="s">
        <v>3</v>
      </c>
      <c r="J85" t="str">
        <f t="shared" si="3"/>
        <v>Error: Should be None</v>
      </c>
      <c r="K85">
        <v>7</v>
      </c>
      <c r="L85" s="2">
        <v>150.04</v>
      </c>
      <c r="M85" t="s">
        <v>16</v>
      </c>
    </row>
    <row r="86" spans="1:13" x14ac:dyDescent="0.35">
      <c r="A86">
        <v>85</v>
      </c>
      <c r="B86">
        <v>25</v>
      </c>
      <c r="C8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6" t="s">
        <v>0</v>
      </c>
      <c r="E86" s="1">
        <v>45163</v>
      </c>
      <c r="F86" s="1" t="str">
        <f t="shared" si="2"/>
        <v>August</v>
      </c>
      <c r="G86" t="s">
        <v>11</v>
      </c>
      <c r="H86" t="s">
        <v>2</v>
      </c>
      <c r="I86" t="s">
        <v>3</v>
      </c>
      <c r="J86" t="str">
        <f t="shared" si="3"/>
        <v>Error: Should be None</v>
      </c>
      <c r="K86">
        <v>8</v>
      </c>
      <c r="L86" s="2">
        <v>476.42</v>
      </c>
      <c r="M86" t="s">
        <v>8</v>
      </c>
    </row>
    <row r="87" spans="1:13" x14ac:dyDescent="0.35">
      <c r="A87">
        <v>86</v>
      </c>
      <c r="B87">
        <v>62</v>
      </c>
      <c r="C87" t="str">
        <f>IF(Hospital[[#This Row],[Age]]&lt;=12,"Child",
IF(Hospital[[#This Row],[Age]]&lt;=19,"Teen",
IF(Hospital[[#This Row],[Age]]&lt;=35,"Young Adult",
IF(Hospital[[#This Row],[Age]]&lt;=59,"Adult",
"Senior"))))</f>
        <v>Senior</v>
      </c>
      <c r="D87" t="s">
        <v>0</v>
      </c>
      <c r="E87" s="1">
        <v>45123</v>
      </c>
      <c r="F87" s="1" t="str">
        <f t="shared" si="2"/>
        <v>July</v>
      </c>
      <c r="G87" t="s">
        <v>19</v>
      </c>
      <c r="H87" t="s">
        <v>17</v>
      </c>
      <c r="I87" t="s">
        <v>15</v>
      </c>
      <c r="J87" t="str">
        <f t="shared" si="3"/>
        <v>Error: Should be None</v>
      </c>
      <c r="K87">
        <v>3</v>
      </c>
      <c r="L87" s="2">
        <v>162.19999999999999</v>
      </c>
      <c r="M87" t="s">
        <v>16</v>
      </c>
    </row>
    <row r="88" spans="1:13" x14ac:dyDescent="0.35">
      <c r="A88">
        <v>87</v>
      </c>
      <c r="B88">
        <v>2</v>
      </c>
      <c r="C88" t="str">
        <f>IF(Hospital[[#This Row],[Age]]&lt;=12,"Child",
IF(Hospital[[#This Row],[Age]]&lt;=19,"Teen",
IF(Hospital[[#This Row],[Age]]&lt;=35,"Young Adult",
IF(Hospital[[#This Row],[Age]]&lt;=59,"Adult",
"Senior"))))</f>
        <v>Child</v>
      </c>
      <c r="D88" t="s">
        <v>5</v>
      </c>
      <c r="E88" s="1">
        <v>45110</v>
      </c>
      <c r="F88" s="1" t="str">
        <f t="shared" si="2"/>
        <v>July</v>
      </c>
      <c r="G88" t="s">
        <v>19</v>
      </c>
      <c r="H88" t="s">
        <v>14</v>
      </c>
      <c r="I88" t="s">
        <v>15</v>
      </c>
      <c r="J88" t="str">
        <f t="shared" si="3"/>
        <v>Error: Should be None</v>
      </c>
      <c r="K88">
        <v>0</v>
      </c>
      <c r="L88" s="2">
        <v>285.61</v>
      </c>
      <c r="M88" t="s">
        <v>8</v>
      </c>
    </row>
    <row r="89" spans="1:13" x14ac:dyDescent="0.35">
      <c r="A89">
        <v>88</v>
      </c>
      <c r="B89">
        <v>14</v>
      </c>
      <c r="C89" t="str">
        <f>IF(Hospital[[#This Row],[Age]]&lt;=12,"Child",
IF(Hospital[[#This Row],[Age]]&lt;=19,"Teen",
IF(Hospital[[#This Row],[Age]]&lt;=35,"Young Adult",
IF(Hospital[[#This Row],[Age]]&lt;=59,"Adult",
"Senior"))))</f>
        <v>Teen</v>
      </c>
      <c r="D89" t="s">
        <v>5</v>
      </c>
      <c r="E89" s="1">
        <v>45580</v>
      </c>
      <c r="F89" s="1" t="str">
        <f t="shared" si="2"/>
        <v>October</v>
      </c>
      <c r="G89" t="s">
        <v>19</v>
      </c>
      <c r="H89" t="s">
        <v>12</v>
      </c>
      <c r="I89" t="s">
        <v>20</v>
      </c>
      <c r="J89" t="str">
        <f t="shared" si="3"/>
        <v>Error: Should be None</v>
      </c>
      <c r="K89">
        <v>7</v>
      </c>
      <c r="L89" s="2">
        <v>231.43</v>
      </c>
      <c r="M89" t="s">
        <v>8</v>
      </c>
    </row>
    <row r="90" spans="1:13" x14ac:dyDescent="0.35">
      <c r="A90">
        <v>89</v>
      </c>
      <c r="B90">
        <v>62</v>
      </c>
      <c r="C90" t="str">
        <f>IF(Hospital[[#This Row],[Age]]&lt;=12,"Child",
IF(Hospital[[#This Row],[Age]]&lt;=19,"Teen",
IF(Hospital[[#This Row],[Age]]&lt;=35,"Young Adult",
IF(Hospital[[#This Row],[Age]]&lt;=59,"Adult",
"Senior"))))</f>
        <v>Senior</v>
      </c>
      <c r="D90" t="s">
        <v>5</v>
      </c>
      <c r="E90" s="1">
        <v>44979</v>
      </c>
      <c r="F90" s="1" t="str">
        <f t="shared" si="2"/>
        <v>February</v>
      </c>
      <c r="G90" t="s">
        <v>11</v>
      </c>
      <c r="H90" t="s">
        <v>14</v>
      </c>
      <c r="I90" t="s">
        <v>20</v>
      </c>
      <c r="J90" t="str">
        <f t="shared" si="3"/>
        <v>Error: Should be None</v>
      </c>
      <c r="K90">
        <v>7</v>
      </c>
      <c r="L90" s="2">
        <v>55.56</v>
      </c>
      <c r="M90" t="s">
        <v>4</v>
      </c>
    </row>
    <row r="91" spans="1:13" x14ac:dyDescent="0.35">
      <c r="A91">
        <v>90</v>
      </c>
      <c r="B91">
        <v>73</v>
      </c>
      <c r="C91" t="str">
        <f>IF(Hospital[[#This Row],[Age]]&lt;=12,"Child",
IF(Hospital[[#This Row],[Age]]&lt;=19,"Teen",
IF(Hospital[[#This Row],[Age]]&lt;=35,"Young Adult",
IF(Hospital[[#This Row],[Age]]&lt;=59,"Adult",
"Senior"))))</f>
        <v>Senior</v>
      </c>
      <c r="D91" t="s">
        <v>0</v>
      </c>
      <c r="E91" s="1">
        <v>45082</v>
      </c>
      <c r="F91" s="1" t="str">
        <f t="shared" si="2"/>
        <v>June</v>
      </c>
      <c r="G91" t="s">
        <v>11</v>
      </c>
      <c r="H91" t="s">
        <v>17</v>
      </c>
      <c r="I91" t="s">
        <v>13</v>
      </c>
      <c r="J91" t="str">
        <f t="shared" si="3"/>
        <v>Error: Should be None</v>
      </c>
      <c r="K91">
        <v>1</v>
      </c>
      <c r="L91" s="2">
        <v>287.88</v>
      </c>
      <c r="M91" t="s">
        <v>10</v>
      </c>
    </row>
    <row r="92" spans="1:13" x14ac:dyDescent="0.35">
      <c r="A92">
        <v>91</v>
      </c>
      <c r="B92">
        <v>80</v>
      </c>
      <c r="C92" t="str">
        <f>IF(Hospital[[#This Row],[Age]]&lt;=12,"Child",
IF(Hospital[[#This Row],[Age]]&lt;=19,"Teen",
IF(Hospital[[#This Row],[Age]]&lt;=35,"Young Adult",
IF(Hospital[[#This Row],[Age]]&lt;=59,"Adult",
"Senior"))))</f>
        <v>Senior</v>
      </c>
      <c r="D92" t="s">
        <v>5</v>
      </c>
      <c r="E92" s="1">
        <v>45547</v>
      </c>
      <c r="F92" s="1" t="str">
        <f t="shared" si="2"/>
        <v>September</v>
      </c>
      <c r="G92" t="s">
        <v>6</v>
      </c>
      <c r="H92" t="s">
        <v>9</v>
      </c>
      <c r="I92" t="s">
        <v>3</v>
      </c>
      <c r="J92" t="str">
        <f t="shared" si="3"/>
        <v>Error: Should be None</v>
      </c>
      <c r="K92">
        <v>7</v>
      </c>
      <c r="L92" s="2">
        <v>456.08</v>
      </c>
      <c r="M92" t="s">
        <v>16</v>
      </c>
    </row>
    <row r="93" spans="1:13" x14ac:dyDescent="0.35">
      <c r="A93">
        <v>92</v>
      </c>
      <c r="B93">
        <v>40</v>
      </c>
      <c r="C93" t="str">
        <f>IF(Hospital[[#This Row],[Age]]&lt;=12,"Child",
IF(Hospital[[#This Row],[Age]]&lt;=19,"Teen",
IF(Hospital[[#This Row],[Age]]&lt;=35,"Young Adult",
IF(Hospital[[#This Row],[Age]]&lt;=59,"Adult",
"Senior"))))</f>
        <v>Adult</v>
      </c>
      <c r="D93" t="s">
        <v>5</v>
      </c>
      <c r="E93" s="1">
        <v>45529</v>
      </c>
      <c r="F93" s="1" t="str">
        <f t="shared" si="2"/>
        <v>August</v>
      </c>
      <c r="G93" t="s">
        <v>11</v>
      </c>
      <c r="H93" t="s">
        <v>12</v>
      </c>
      <c r="I93" t="s">
        <v>13</v>
      </c>
      <c r="J93" t="str">
        <f t="shared" si="3"/>
        <v>Error: Should be None</v>
      </c>
      <c r="K93">
        <v>10</v>
      </c>
      <c r="L93" s="2">
        <v>121.29</v>
      </c>
      <c r="M93" t="s">
        <v>4</v>
      </c>
    </row>
    <row r="94" spans="1:13" x14ac:dyDescent="0.35">
      <c r="A94">
        <v>93</v>
      </c>
      <c r="B94">
        <v>23</v>
      </c>
      <c r="C9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4" t="s">
        <v>5</v>
      </c>
      <c r="E94" s="1">
        <v>45087</v>
      </c>
      <c r="F94" s="1" t="str">
        <f t="shared" si="2"/>
        <v>June</v>
      </c>
      <c r="G94" t="s">
        <v>1</v>
      </c>
      <c r="H94" t="s">
        <v>17</v>
      </c>
      <c r="I94" t="s">
        <v>15</v>
      </c>
      <c r="J94" t="str">
        <f t="shared" si="3"/>
        <v>Error: Should be None</v>
      </c>
      <c r="K94">
        <v>6</v>
      </c>
      <c r="L94" s="2">
        <v>236.24</v>
      </c>
      <c r="M94" t="s">
        <v>10</v>
      </c>
    </row>
    <row r="95" spans="1:13" x14ac:dyDescent="0.35">
      <c r="A95">
        <v>94</v>
      </c>
      <c r="B95">
        <v>30</v>
      </c>
      <c r="C9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5" t="s">
        <v>0</v>
      </c>
      <c r="E95" s="1">
        <v>45225</v>
      </c>
      <c r="F95" s="1" t="str">
        <f t="shared" si="2"/>
        <v>October</v>
      </c>
      <c r="G95" t="s">
        <v>19</v>
      </c>
      <c r="H95" t="s">
        <v>2</v>
      </c>
      <c r="I95" t="s">
        <v>3</v>
      </c>
      <c r="J95" t="str">
        <f t="shared" si="3"/>
        <v>Error: Should be None</v>
      </c>
      <c r="K95">
        <v>7</v>
      </c>
      <c r="L95" s="2">
        <v>54.17</v>
      </c>
      <c r="M95" t="s">
        <v>8</v>
      </c>
    </row>
    <row r="96" spans="1:13" x14ac:dyDescent="0.35">
      <c r="A96">
        <v>95</v>
      </c>
      <c r="B96">
        <v>76</v>
      </c>
      <c r="C96" t="str">
        <f>IF(Hospital[[#This Row],[Age]]&lt;=12,"Child",
IF(Hospital[[#This Row],[Age]]&lt;=19,"Teen",
IF(Hospital[[#This Row],[Age]]&lt;=35,"Young Adult",
IF(Hospital[[#This Row],[Age]]&lt;=59,"Adult",
"Senior"))))</f>
        <v>Senior</v>
      </c>
      <c r="D96" t="s">
        <v>5</v>
      </c>
      <c r="E96" s="1">
        <v>45197</v>
      </c>
      <c r="F96" s="1" t="str">
        <f t="shared" si="2"/>
        <v>September</v>
      </c>
      <c r="G96" t="s">
        <v>6</v>
      </c>
      <c r="H96" t="s">
        <v>7</v>
      </c>
      <c r="I96" t="s">
        <v>3</v>
      </c>
      <c r="J96" t="str">
        <f t="shared" si="3"/>
        <v>Error: Should be None</v>
      </c>
      <c r="K96">
        <v>1</v>
      </c>
      <c r="L96" s="2">
        <v>281.39</v>
      </c>
      <c r="M96" t="s">
        <v>8</v>
      </c>
    </row>
    <row r="97" spans="1:13" x14ac:dyDescent="0.35">
      <c r="A97">
        <v>96</v>
      </c>
      <c r="B97">
        <v>10</v>
      </c>
      <c r="C97" t="str">
        <f>IF(Hospital[[#This Row],[Age]]&lt;=12,"Child",
IF(Hospital[[#This Row],[Age]]&lt;=19,"Teen",
IF(Hospital[[#This Row],[Age]]&lt;=35,"Young Adult",
IF(Hospital[[#This Row],[Age]]&lt;=59,"Adult",
"Senior"))))</f>
        <v>Child</v>
      </c>
      <c r="D97" t="s">
        <v>5</v>
      </c>
      <c r="E97" s="1">
        <v>45199</v>
      </c>
      <c r="F97" s="1" t="str">
        <f t="shared" si="2"/>
        <v>September</v>
      </c>
      <c r="G97" t="s">
        <v>1</v>
      </c>
      <c r="H97" t="s">
        <v>17</v>
      </c>
      <c r="I97" t="s">
        <v>18</v>
      </c>
      <c r="J97" t="str">
        <f t="shared" si="3"/>
        <v>Error: Should be None</v>
      </c>
      <c r="K97">
        <v>9</v>
      </c>
      <c r="L97" s="2">
        <v>379.5</v>
      </c>
      <c r="M97" t="s">
        <v>16</v>
      </c>
    </row>
    <row r="98" spans="1:13" x14ac:dyDescent="0.35">
      <c r="A98">
        <v>97</v>
      </c>
      <c r="B98">
        <v>60</v>
      </c>
      <c r="C98" t="str">
        <f>IF(Hospital[[#This Row],[Age]]&lt;=12,"Child",
IF(Hospital[[#This Row],[Age]]&lt;=19,"Teen",
IF(Hospital[[#This Row],[Age]]&lt;=35,"Young Adult",
IF(Hospital[[#This Row],[Age]]&lt;=59,"Adult",
"Senior"))))</f>
        <v>Senior</v>
      </c>
      <c r="D98" t="s">
        <v>0</v>
      </c>
      <c r="E98" s="1">
        <v>45376</v>
      </c>
      <c r="F98" s="1" t="str">
        <f t="shared" si="2"/>
        <v>March</v>
      </c>
      <c r="G98" t="s">
        <v>6</v>
      </c>
      <c r="H98" t="s">
        <v>2</v>
      </c>
      <c r="I98" t="s">
        <v>3</v>
      </c>
      <c r="J98" t="str">
        <f t="shared" si="3"/>
        <v>Error: Should be None</v>
      </c>
      <c r="K98">
        <v>4</v>
      </c>
      <c r="L98" s="2">
        <v>260.23</v>
      </c>
      <c r="M98" t="s">
        <v>10</v>
      </c>
    </row>
    <row r="99" spans="1:13" x14ac:dyDescent="0.35">
      <c r="A99">
        <v>98</v>
      </c>
      <c r="B99">
        <v>77</v>
      </c>
      <c r="C99" t="str">
        <f>IF(Hospital[[#This Row],[Age]]&lt;=12,"Child",
IF(Hospital[[#This Row],[Age]]&lt;=19,"Teen",
IF(Hospital[[#This Row],[Age]]&lt;=35,"Young Adult",
IF(Hospital[[#This Row],[Age]]&lt;=59,"Adult",
"Senior"))))</f>
        <v>Senior</v>
      </c>
      <c r="D99" t="s">
        <v>5</v>
      </c>
      <c r="E99" s="1">
        <v>45375</v>
      </c>
      <c r="F99" s="1" t="str">
        <f t="shared" si="2"/>
        <v>March</v>
      </c>
      <c r="G99" t="s">
        <v>6</v>
      </c>
      <c r="H99" t="s">
        <v>2</v>
      </c>
      <c r="I99" t="s">
        <v>3</v>
      </c>
      <c r="J99" t="str">
        <f t="shared" si="3"/>
        <v>Error: Should be None</v>
      </c>
      <c r="K99">
        <v>5</v>
      </c>
      <c r="L99" s="2">
        <v>309.77999999999997</v>
      </c>
      <c r="M99" t="s">
        <v>4</v>
      </c>
    </row>
    <row r="100" spans="1:13" x14ac:dyDescent="0.35">
      <c r="A100">
        <v>99</v>
      </c>
      <c r="B100">
        <v>74</v>
      </c>
      <c r="C100" t="str">
        <f>IF(Hospital[[#This Row],[Age]]&lt;=12,"Child",
IF(Hospital[[#This Row],[Age]]&lt;=19,"Teen",
IF(Hospital[[#This Row],[Age]]&lt;=35,"Young Adult",
IF(Hospital[[#This Row],[Age]]&lt;=59,"Adult",
"Senior"))))</f>
        <v>Senior</v>
      </c>
      <c r="D100" t="s">
        <v>5</v>
      </c>
      <c r="E100" s="1">
        <v>45020</v>
      </c>
      <c r="F100" s="1" t="str">
        <f t="shared" si="2"/>
        <v>April</v>
      </c>
      <c r="G100" t="s">
        <v>19</v>
      </c>
      <c r="H100" t="s">
        <v>17</v>
      </c>
      <c r="I100" t="s">
        <v>3</v>
      </c>
      <c r="J100" t="str">
        <f t="shared" si="3"/>
        <v>Error: Should be None</v>
      </c>
      <c r="K100">
        <v>0</v>
      </c>
      <c r="L100" s="2">
        <v>386.29</v>
      </c>
      <c r="M100" t="s">
        <v>8</v>
      </c>
    </row>
    <row r="101" spans="1:13" x14ac:dyDescent="0.35">
      <c r="A101">
        <v>100</v>
      </c>
      <c r="B101">
        <v>84</v>
      </c>
      <c r="C101" t="str">
        <f>IF(Hospital[[#This Row],[Age]]&lt;=12,"Child",
IF(Hospital[[#This Row],[Age]]&lt;=19,"Teen",
IF(Hospital[[#This Row],[Age]]&lt;=35,"Young Adult",
IF(Hospital[[#This Row],[Age]]&lt;=59,"Adult",
"Senior"))))</f>
        <v>Senior</v>
      </c>
      <c r="D101" t="s">
        <v>0</v>
      </c>
      <c r="E101" s="1">
        <v>45408</v>
      </c>
      <c r="F101" s="1" t="str">
        <f t="shared" si="2"/>
        <v>April</v>
      </c>
      <c r="G101" t="s">
        <v>19</v>
      </c>
      <c r="H101" t="s">
        <v>9</v>
      </c>
      <c r="I101" t="s">
        <v>3</v>
      </c>
      <c r="J101" t="str">
        <f t="shared" si="3"/>
        <v>Error: Should be None</v>
      </c>
      <c r="K101">
        <v>2</v>
      </c>
      <c r="L101" s="2">
        <v>498.53</v>
      </c>
      <c r="M101" t="s">
        <v>10</v>
      </c>
    </row>
    <row r="102" spans="1:13" x14ac:dyDescent="0.35">
      <c r="A102">
        <v>101</v>
      </c>
      <c r="B102">
        <v>12</v>
      </c>
      <c r="C102" t="str">
        <f>IF(Hospital[[#This Row],[Age]]&lt;=12,"Child",
IF(Hospital[[#This Row],[Age]]&lt;=19,"Teen",
IF(Hospital[[#This Row],[Age]]&lt;=35,"Young Adult",
IF(Hospital[[#This Row],[Age]]&lt;=59,"Adult",
"Senior"))))</f>
        <v>Child</v>
      </c>
      <c r="D102" t="s">
        <v>0</v>
      </c>
      <c r="E102" s="1">
        <v>45577</v>
      </c>
      <c r="F102" s="1" t="str">
        <f t="shared" si="2"/>
        <v>October</v>
      </c>
      <c r="G102" t="s">
        <v>19</v>
      </c>
      <c r="H102" t="s">
        <v>12</v>
      </c>
      <c r="I102" t="s">
        <v>20</v>
      </c>
      <c r="J102" t="str">
        <f t="shared" si="3"/>
        <v>Error: Should be None</v>
      </c>
      <c r="K102">
        <v>5</v>
      </c>
      <c r="L102" s="2">
        <v>174.11</v>
      </c>
      <c r="M102" t="s">
        <v>4</v>
      </c>
    </row>
    <row r="103" spans="1:13" x14ac:dyDescent="0.35">
      <c r="A103">
        <v>102</v>
      </c>
      <c r="B103">
        <v>53</v>
      </c>
      <c r="C103" t="str">
        <f>IF(Hospital[[#This Row],[Age]]&lt;=12,"Child",
IF(Hospital[[#This Row],[Age]]&lt;=19,"Teen",
IF(Hospital[[#This Row],[Age]]&lt;=35,"Young Adult",
IF(Hospital[[#This Row],[Age]]&lt;=59,"Adult",
"Senior"))))</f>
        <v>Adult</v>
      </c>
      <c r="D103" t="s">
        <v>0</v>
      </c>
      <c r="E103" s="1">
        <v>45091</v>
      </c>
      <c r="F103" s="1" t="str">
        <f t="shared" si="2"/>
        <v>June</v>
      </c>
      <c r="G103" t="s">
        <v>19</v>
      </c>
      <c r="H103" t="s">
        <v>14</v>
      </c>
      <c r="I103" t="s">
        <v>20</v>
      </c>
      <c r="J103" t="str">
        <f t="shared" si="3"/>
        <v>Error: Should be None</v>
      </c>
      <c r="K103">
        <v>8</v>
      </c>
      <c r="L103" s="2">
        <v>37.61</v>
      </c>
      <c r="M103" t="s">
        <v>4</v>
      </c>
    </row>
    <row r="104" spans="1:13" x14ac:dyDescent="0.35">
      <c r="A104">
        <v>103</v>
      </c>
      <c r="B104">
        <v>42</v>
      </c>
      <c r="C104" t="str">
        <f>IF(Hospital[[#This Row],[Age]]&lt;=12,"Child",
IF(Hospital[[#This Row],[Age]]&lt;=19,"Teen",
IF(Hospital[[#This Row],[Age]]&lt;=35,"Young Adult",
IF(Hospital[[#This Row],[Age]]&lt;=59,"Adult",
"Senior"))))</f>
        <v>Adult</v>
      </c>
      <c r="D104" t="s">
        <v>5</v>
      </c>
      <c r="E104" s="1">
        <v>45249</v>
      </c>
      <c r="F104" s="1" t="str">
        <f t="shared" si="2"/>
        <v>November</v>
      </c>
      <c r="G104" t="s">
        <v>6</v>
      </c>
      <c r="H104" t="s">
        <v>14</v>
      </c>
      <c r="I104" t="s">
        <v>3</v>
      </c>
      <c r="J104" t="str">
        <f t="shared" si="3"/>
        <v>Error: Should be None</v>
      </c>
      <c r="K104">
        <v>0</v>
      </c>
      <c r="L104" s="2">
        <v>335.68</v>
      </c>
      <c r="M104" t="s">
        <v>10</v>
      </c>
    </row>
    <row r="105" spans="1:13" x14ac:dyDescent="0.35">
      <c r="A105">
        <v>104</v>
      </c>
      <c r="B105">
        <v>25</v>
      </c>
      <c r="C10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05" t="s">
        <v>0</v>
      </c>
      <c r="E105" s="1">
        <v>45350</v>
      </c>
      <c r="F105" s="1" t="str">
        <f t="shared" si="2"/>
        <v>February</v>
      </c>
      <c r="G105" t="s">
        <v>6</v>
      </c>
      <c r="H105" t="s">
        <v>2</v>
      </c>
      <c r="I105" t="s">
        <v>3</v>
      </c>
      <c r="J105" t="str">
        <f t="shared" si="3"/>
        <v>Error: Should be None</v>
      </c>
      <c r="K105">
        <v>10</v>
      </c>
      <c r="L105" s="2">
        <v>232.18</v>
      </c>
      <c r="M105" t="s">
        <v>4</v>
      </c>
    </row>
    <row r="106" spans="1:13" x14ac:dyDescent="0.35">
      <c r="A106">
        <v>105</v>
      </c>
      <c r="B106">
        <v>71</v>
      </c>
      <c r="C106" t="str">
        <f>IF(Hospital[[#This Row],[Age]]&lt;=12,"Child",
IF(Hospital[[#This Row],[Age]]&lt;=19,"Teen",
IF(Hospital[[#This Row],[Age]]&lt;=35,"Young Adult",
IF(Hospital[[#This Row],[Age]]&lt;=59,"Adult",
"Senior"))))</f>
        <v>Senior</v>
      </c>
      <c r="D106" t="s">
        <v>5</v>
      </c>
      <c r="E106" s="1">
        <v>45135</v>
      </c>
      <c r="F106" s="1" t="str">
        <f t="shared" si="2"/>
        <v>July</v>
      </c>
      <c r="G106" t="s">
        <v>19</v>
      </c>
      <c r="H106" t="s">
        <v>14</v>
      </c>
      <c r="I106" t="s">
        <v>20</v>
      </c>
      <c r="J106" t="str">
        <f t="shared" si="3"/>
        <v>Error: Should be None</v>
      </c>
      <c r="K106">
        <v>7</v>
      </c>
      <c r="L106" s="2">
        <v>78.28</v>
      </c>
      <c r="M106" t="s">
        <v>8</v>
      </c>
    </row>
    <row r="107" spans="1:13" x14ac:dyDescent="0.35">
      <c r="A107">
        <v>106</v>
      </c>
      <c r="B107">
        <v>40</v>
      </c>
      <c r="C107" t="str">
        <f>IF(Hospital[[#This Row],[Age]]&lt;=12,"Child",
IF(Hospital[[#This Row],[Age]]&lt;=19,"Teen",
IF(Hospital[[#This Row],[Age]]&lt;=35,"Young Adult",
IF(Hospital[[#This Row],[Age]]&lt;=59,"Adult",
"Senior"))))</f>
        <v>Adult</v>
      </c>
      <c r="D107" t="s">
        <v>5</v>
      </c>
      <c r="E107" s="1">
        <v>45653</v>
      </c>
      <c r="F107" s="1" t="str">
        <f t="shared" si="2"/>
        <v>December</v>
      </c>
      <c r="G107" t="s">
        <v>6</v>
      </c>
      <c r="H107" t="s">
        <v>17</v>
      </c>
      <c r="I107" t="s">
        <v>15</v>
      </c>
      <c r="J107" t="str">
        <f t="shared" si="3"/>
        <v>Error: Should be None</v>
      </c>
      <c r="K107">
        <v>3</v>
      </c>
      <c r="L107" s="2">
        <v>496.28</v>
      </c>
      <c r="M107" t="s">
        <v>4</v>
      </c>
    </row>
    <row r="108" spans="1:13" x14ac:dyDescent="0.35">
      <c r="A108">
        <v>107</v>
      </c>
      <c r="B108">
        <v>83</v>
      </c>
      <c r="C108" t="str">
        <f>IF(Hospital[[#This Row],[Age]]&lt;=12,"Child",
IF(Hospital[[#This Row],[Age]]&lt;=19,"Teen",
IF(Hospital[[#This Row],[Age]]&lt;=35,"Young Adult",
IF(Hospital[[#This Row],[Age]]&lt;=59,"Adult",
"Senior"))))</f>
        <v>Senior</v>
      </c>
      <c r="D108" t="s">
        <v>5</v>
      </c>
      <c r="E108" s="1">
        <v>45399</v>
      </c>
      <c r="F108" s="1" t="str">
        <f t="shared" si="2"/>
        <v>April</v>
      </c>
      <c r="G108" t="s">
        <v>6</v>
      </c>
      <c r="H108" t="s">
        <v>2</v>
      </c>
      <c r="I108" t="s">
        <v>3</v>
      </c>
      <c r="J108" t="str">
        <f t="shared" si="3"/>
        <v>Error: Should be None</v>
      </c>
      <c r="K108">
        <v>4</v>
      </c>
      <c r="L108" s="2">
        <v>264.26</v>
      </c>
      <c r="M108" t="s">
        <v>16</v>
      </c>
    </row>
    <row r="109" spans="1:13" x14ac:dyDescent="0.35">
      <c r="A109">
        <v>108</v>
      </c>
      <c r="B109">
        <v>61</v>
      </c>
      <c r="C109" t="str">
        <f>IF(Hospital[[#This Row],[Age]]&lt;=12,"Child",
IF(Hospital[[#This Row],[Age]]&lt;=19,"Teen",
IF(Hospital[[#This Row],[Age]]&lt;=35,"Young Adult",
IF(Hospital[[#This Row],[Age]]&lt;=59,"Adult",
"Senior"))))</f>
        <v>Senior</v>
      </c>
      <c r="D109" t="s">
        <v>5</v>
      </c>
      <c r="E109" s="1">
        <v>45352</v>
      </c>
      <c r="F109" s="1" t="str">
        <f t="shared" si="2"/>
        <v>March</v>
      </c>
      <c r="G109" t="s">
        <v>6</v>
      </c>
      <c r="H109" t="s">
        <v>12</v>
      </c>
      <c r="I109" t="s">
        <v>3</v>
      </c>
      <c r="J109" t="str">
        <f t="shared" si="3"/>
        <v>Error: Should be None</v>
      </c>
      <c r="K109">
        <v>2</v>
      </c>
      <c r="L109" s="2">
        <v>204.12</v>
      </c>
      <c r="M109" t="s">
        <v>8</v>
      </c>
    </row>
    <row r="110" spans="1:13" x14ac:dyDescent="0.35">
      <c r="A110">
        <v>109</v>
      </c>
      <c r="B110">
        <v>54</v>
      </c>
      <c r="C110" t="str">
        <f>IF(Hospital[[#This Row],[Age]]&lt;=12,"Child",
IF(Hospital[[#This Row],[Age]]&lt;=19,"Teen",
IF(Hospital[[#This Row],[Age]]&lt;=35,"Young Adult",
IF(Hospital[[#This Row],[Age]]&lt;=59,"Adult",
"Senior"))))</f>
        <v>Adult</v>
      </c>
      <c r="D110" t="s">
        <v>0</v>
      </c>
      <c r="E110" s="1">
        <v>44998</v>
      </c>
      <c r="F110" s="1" t="str">
        <f t="shared" si="2"/>
        <v>March</v>
      </c>
      <c r="G110" t="s">
        <v>19</v>
      </c>
      <c r="H110" t="s">
        <v>14</v>
      </c>
      <c r="I110" t="s">
        <v>15</v>
      </c>
      <c r="J110" t="str">
        <f t="shared" si="3"/>
        <v>Error: Should be None</v>
      </c>
      <c r="K110">
        <v>4</v>
      </c>
      <c r="L110" s="2">
        <v>368.5</v>
      </c>
      <c r="M110" t="s">
        <v>10</v>
      </c>
    </row>
    <row r="111" spans="1:13" x14ac:dyDescent="0.35">
      <c r="A111">
        <v>110</v>
      </c>
      <c r="B111">
        <v>69</v>
      </c>
      <c r="C111" t="str">
        <f>IF(Hospital[[#This Row],[Age]]&lt;=12,"Child",
IF(Hospital[[#This Row],[Age]]&lt;=19,"Teen",
IF(Hospital[[#This Row],[Age]]&lt;=35,"Young Adult",
IF(Hospital[[#This Row],[Age]]&lt;=59,"Adult",
"Senior"))))</f>
        <v>Senior</v>
      </c>
      <c r="D111" t="s">
        <v>0</v>
      </c>
      <c r="E111" s="1">
        <v>45079</v>
      </c>
      <c r="F111" s="1" t="str">
        <f t="shared" si="2"/>
        <v>June</v>
      </c>
      <c r="G111" t="s">
        <v>19</v>
      </c>
      <c r="H111" t="s">
        <v>12</v>
      </c>
      <c r="I111" t="s">
        <v>18</v>
      </c>
      <c r="J111" t="str">
        <f t="shared" si="3"/>
        <v>Error: Should be None</v>
      </c>
      <c r="K111">
        <v>8</v>
      </c>
      <c r="L111" s="2">
        <v>386.18</v>
      </c>
      <c r="M111" t="s">
        <v>10</v>
      </c>
    </row>
    <row r="112" spans="1:13" x14ac:dyDescent="0.35">
      <c r="A112">
        <v>111</v>
      </c>
      <c r="B112">
        <v>25</v>
      </c>
      <c r="C11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12" t="s">
        <v>5</v>
      </c>
      <c r="E112" s="1">
        <v>45393</v>
      </c>
      <c r="F112" s="1" t="str">
        <f t="shared" si="2"/>
        <v>April</v>
      </c>
      <c r="G112" t="s">
        <v>6</v>
      </c>
      <c r="H112" t="s">
        <v>14</v>
      </c>
      <c r="I112" t="s">
        <v>13</v>
      </c>
      <c r="J112" t="str">
        <f t="shared" si="3"/>
        <v>Error: Should be None</v>
      </c>
      <c r="K112">
        <v>6</v>
      </c>
      <c r="L112" s="2">
        <v>40.950000000000003</v>
      </c>
      <c r="M112" t="s">
        <v>10</v>
      </c>
    </row>
    <row r="113" spans="1:13" x14ac:dyDescent="0.35">
      <c r="A113">
        <v>112</v>
      </c>
      <c r="B113">
        <v>50</v>
      </c>
      <c r="C113" t="str">
        <f>IF(Hospital[[#This Row],[Age]]&lt;=12,"Child",
IF(Hospital[[#This Row],[Age]]&lt;=19,"Teen",
IF(Hospital[[#This Row],[Age]]&lt;=35,"Young Adult",
IF(Hospital[[#This Row],[Age]]&lt;=59,"Adult",
"Senior"))))</f>
        <v>Adult</v>
      </c>
      <c r="D113" t="s">
        <v>5</v>
      </c>
      <c r="E113" s="1">
        <v>45649</v>
      </c>
      <c r="F113" s="1" t="str">
        <f t="shared" si="2"/>
        <v>December</v>
      </c>
      <c r="G113" t="s">
        <v>6</v>
      </c>
      <c r="H113" t="s">
        <v>12</v>
      </c>
      <c r="I113" t="s">
        <v>15</v>
      </c>
      <c r="J113" t="str">
        <f t="shared" si="3"/>
        <v>Error: Should be None</v>
      </c>
      <c r="K113">
        <v>2</v>
      </c>
      <c r="L113" s="2">
        <v>261.10000000000002</v>
      </c>
      <c r="M113" t="s">
        <v>16</v>
      </c>
    </row>
    <row r="114" spans="1:13" x14ac:dyDescent="0.35">
      <c r="A114">
        <v>113</v>
      </c>
      <c r="B114">
        <v>13</v>
      </c>
      <c r="C114" t="str">
        <f>IF(Hospital[[#This Row],[Age]]&lt;=12,"Child",
IF(Hospital[[#This Row],[Age]]&lt;=19,"Teen",
IF(Hospital[[#This Row],[Age]]&lt;=35,"Young Adult",
IF(Hospital[[#This Row],[Age]]&lt;=59,"Adult",
"Senior"))))</f>
        <v>Teen</v>
      </c>
      <c r="D114" t="s">
        <v>0</v>
      </c>
      <c r="E114" s="1">
        <v>45029</v>
      </c>
      <c r="F114" s="1" t="str">
        <f t="shared" si="2"/>
        <v>April</v>
      </c>
      <c r="G114" t="s">
        <v>11</v>
      </c>
      <c r="H114" t="s">
        <v>12</v>
      </c>
      <c r="I114" t="s">
        <v>13</v>
      </c>
      <c r="J114" t="str">
        <f t="shared" si="3"/>
        <v>Error: Should be None</v>
      </c>
      <c r="K114">
        <v>6</v>
      </c>
      <c r="L114" s="2">
        <v>438.05</v>
      </c>
      <c r="M114" t="s">
        <v>8</v>
      </c>
    </row>
    <row r="115" spans="1:13" x14ac:dyDescent="0.35">
      <c r="A115">
        <v>114</v>
      </c>
      <c r="B115">
        <v>34</v>
      </c>
      <c r="C11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15" t="s">
        <v>0</v>
      </c>
      <c r="E115" s="1">
        <v>45003</v>
      </c>
      <c r="F115" s="1" t="str">
        <f t="shared" si="2"/>
        <v>March</v>
      </c>
      <c r="G115" t="s">
        <v>6</v>
      </c>
      <c r="H115" t="s">
        <v>12</v>
      </c>
      <c r="I115" t="s">
        <v>15</v>
      </c>
      <c r="J115" t="str">
        <f t="shared" si="3"/>
        <v>Error: Should be None</v>
      </c>
      <c r="K115">
        <v>5</v>
      </c>
      <c r="L115" s="2">
        <v>429.12</v>
      </c>
      <c r="M115" t="s">
        <v>10</v>
      </c>
    </row>
    <row r="116" spans="1:13" x14ac:dyDescent="0.35">
      <c r="A116">
        <v>115</v>
      </c>
      <c r="B116">
        <v>63</v>
      </c>
      <c r="C116" t="str">
        <f>IF(Hospital[[#This Row],[Age]]&lt;=12,"Child",
IF(Hospital[[#This Row],[Age]]&lt;=19,"Teen",
IF(Hospital[[#This Row],[Age]]&lt;=35,"Young Adult",
IF(Hospital[[#This Row],[Age]]&lt;=59,"Adult",
"Senior"))))</f>
        <v>Senior</v>
      </c>
      <c r="D116" t="s">
        <v>5</v>
      </c>
      <c r="E116" s="1">
        <v>45251</v>
      </c>
      <c r="F116" s="1" t="str">
        <f t="shared" si="2"/>
        <v>November</v>
      </c>
      <c r="G116" t="s">
        <v>11</v>
      </c>
      <c r="H116" t="s">
        <v>7</v>
      </c>
      <c r="I116" t="s">
        <v>3</v>
      </c>
      <c r="J116" t="str">
        <f t="shared" si="3"/>
        <v>Error: Should be None</v>
      </c>
      <c r="K116">
        <v>3</v>
      </c>
      <c r="L116" s="2">
        <v>322.95999999999998</v>
      </c>
      <c r="M116" t="s">
        <v>16</v>
      </c>
    </row>
    <row r="117" spans="1:13" x14ac:dyDescent="0.35">
      <c r="A117">
        <v>116</v>
      </c>
      <c r="B117">
        <v>12</v>
      </c>
      <c r="C117" t="str">
        <f>IF(Hospital[[#This Row],[Age]]&lt;=12,"Child",
IF(Hospital[[#This Row],[Age]]&lt;=19,"Teen",
IF(Hospital[[#This Row],[Age]]&lt;=35,"Young Adult",
IF(Hospital[[#This Row],[Age]]&lt;=59,"Adult",
"Senior"))))</f>
        <v>Child</v>
      </c>
      <c r="D117" t="s">
        <v>0</v>
      </c>
      <c r="E117" s="1">
        <v>45159</v>
      </c>
      <c r="F117" s="1" t="str">
        <f t="shared" si="2"/>
        <v>August</v>
      </c>
      <c r="G117" t="s">
        <v>11</v>
      </c>
      <c r="H117" t="s">
        <v>7</v>
      </c>
      <c r="I117" t="s">
        <v>3</v>
      </c>
      <c r="J117" t="str">
        <f t="shared" si="3"/>
        <v>Error: Should be None</v>
      </c>
      <c r="K117">
        <v>10</v>
      </c>
      <c r="L117" s="2">
        <v>357.87</v>
      </c>
      <c r="M117" t="s">
        <v>4</v>
      </c>
    </row>
    <row r="118" spans="1:13" x14ac:dyDescent="0.35">
      <c r="A118">
        <v>117</v>
      </c>
      <c r="B118">
        <v>39</v>
      </c>
      <c r="C118" t="str">
        <f>IF(Hospital[[#This Row],[Age]]&lt;=12,"Child",
IF(Hospital[[#This Row],[Age]]&lt;=19,"Teen",
IF(Hospital[[#This Row],[Age]]&lt;=35,"Young Adult",
IF(Hospital[[#This Row],[Age]]&lt;=59,"Adult",
"Senior"))))</f>
        <v>Adult</v>
      </c>
      <c r="D118" t="s">
        <v>5</v>
      </c>
      <c r="E118" s="1">
        <v>45381</v>
      </c>
      <c r="F118" s="1" t="str">
        <f t="shared" si="2"/>
        <v>March</v>
      </c>
      <c r="G118" t="s">
        <v>11</v>
      </c>
      <c r="H118" t="s">
        <v>17</v>
      </c>
      <c r="I118" t="s">
        <v>18</v>
      </c>
      <c r="J118" t="str">
        <f t="shared" si="3"/>
        <v>Error: Should be None</v>
      </c>
      <c r="K118">
        <v>0</v>
      </c>
      <c r="L118" s="2">
        <v>160.82</v>
      </c>
      <c r="M118" t="s">
        <v>16</v>
      </c>
    </row>
    <row r="119" spans="1:13" x14ac:dyDescent="0.35">
      <c r="A119">
        <v>118</v>
      </c>
      <c r="B119">
        <v>32</v>
      </c>
      <c r="C11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19" t="s">
        <v>0</v>
      </c>
      <c r="E119" s="1">
        <v>45368</v>
      </c>
      <c r="F119" s="1" t="str">
        <f t="shared" si="2"/>
        <v>March</v>
      </c>
      <c r="G119" t="s">
        <v>1</v>
      </c>
      <c r="H119" t="s">
        <v>17</v>
      </c>
      <c r="I119" t="s">
        <v>13</v>
      </c>
      <c r="J119" t="str">
        <f t="shared" si="3"/>
        <v>Error: Should be None</v>
      </c>
      <c r="K119">
        <v>2</v>
      </c>
      <c r="L119" s="2">
        <v>57.9</v>
      </c>
      <c r="M119" t="s">
        <v>10</v>
      </c>
    </row>
    <row r="120" spans="1:13" x14ac:dyDescent="0.35">
      <c r="A120">
        <v>119</v>
      </c>
      <c r="B120">
        <v>31</v>
      </c>
      <c r="C12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20" t="s">
        <v>0</v>
      </c>
      <c r="E120" s="1">
        <v>45561</v>
      </c>
      <c r="F120" s="1" t="str">
        <f t="shared" si="2"/>
        <v>September</v>
      </c>
      <c r="G120" t="s">
        <v>1</v>
      </c>
      <c r="H120" t="s">
        <v>7</v>
      </c>
      <c r="I120" t="s">
        <v>3</v>
      </c>
      <c r="J120" t="str">
        <f t="shared" si="3"/>
        <v>Error: Should be None</v>
      </c>
      <c r="K120">
        <v>3</v>
      </c>
      <c r="L120" s="2">
        <v>241.35</v>
      </c>
      <c r="M120" t="s">
        <v>16</v>
      </c>
    </row>
    <row r="121" spans="1:13" x14ac:dyDescent="0.35">
      <c r="A121">
        <v>120</v>
      </c>
      <c r="B121">
        <v>2</v>
      </c>
      <c r="C121" t="str">
        <f>IF(Hospital[[#This Row],[Age]]&lt;=12,"Child",
IF(Hospital[[#This Row],[Age]]&lt;=19,"Teen",
IF(Hospital[[#This Row],[Age]]&lt;=35,"Young Adult",
IF(Hospital[[#This Row],[Age]]&lt;=59,"Adult",
"Senior"))))</f>
        <v>Child</v>
      </c>
      <c r="D121" t="s">
        <v>0</v>
      </c>
      <c r="E121" s="1">
        <v>45397</v>
      </c>
      <c r="F121" s="1" t="str">
        <f t="shared" si="2"/>
        <v>April</v>
      </c>
      <c r="G121" t="s">
        <v>19</v>
      </c>
      <c r="H121" t="s">
        <v>14</v>
      </c>
      <c r="I121" t="s">
        <v>3</v>
      </c>
      <c r="J121" t="str">
        <f t="shared" si="3"/>
        <v>Error: Should be None</v>
      </c>
      <c r="K121">
        <v>2</v>
      </c>
      <c r="L121" s="2">
        <v>55.45</v>
      </c>
      <c r="M121" t="s">
        <v>16</v>
      </c>
    </row>
    <row r="122" spans="1:13" x14ac:dyDescent="0.35">
      <c r="A122">
        <v>121</v>
      </c>
      <c r="B122">
        <v>82</v>
      </c>
      <c r="C122" t="str">
        <f>IF(Hospital[[#This Row],[Age]]&lt;=12,"Child",
IF(Hospital[[#This Row],[Age]]&lt;=19,"Teen",
IF(Hospital[[#This Row],[Age]]&lt;=35,"Young Adult",
IF(Hospital[[#This Row],[Age]]&lt;=59,"Adult",
"Senior"))))</f>
        <v>Senior</v>
      </c>
      <c r="D122" t="s">
        <v>0</v>
      </c>
      <c r="E122" s="1">
        <v>45528</v>
      </c>
      <c r="F122" s="1" t="str">
        <f t="shared" si="2"/>
        <v>August</v>
      </c>
      <c r="G122" t="s">
        <v>19</v>
      </c>
      <c r="H122" t="s">
        <v>14</v>
      </c>
      <c r="I122" t="s">
        <v>20</v>
      </c>
      <c r="J122" t="str">
        <f t="shared" si="3"/>
        <v>Error: Should be None</v>
      </c>
      <c r="K122">
        <v>4</v>
      </c>
      <c r="L122" s="2">
        <v>115.62</v>
      </c>
      <c r="M122" t="s">
        <v>10</v>
      </c>
    </row>
    <row r="123" spans="1:13" x14ac:dyDescent="0.35">
      <c r="A123">
        <v>122</v>
      </c>
      <c r="B123">
        <v>31</v>
      </c>
      <c r="C12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23" t="s">
        <v>0</v>
      </c>
      <c r="E123" s="1">
        <v>45421</v>
      </c>
      <c r="F123" s="1" t="str">
        <f t="shared" si="2"/>
        <v>May</v>
      </c>
      <c r="G123" t="s">
        <v>19</v>
      </c>
      <c r="H123" t="s">
        <v>2</v>
      </c>
      <c r="I123" t="s">
        <v>3</v>
      </c>
      <c r="J123" t="str">
        <f t="shared" si="3"/>
        <v>Error: Should be None</v>
      </c>
      <c r="K123">
        <v>9</v>
      </c>
      <c r="L123" s="2">
        <v>162.02000000000001</v>
      </c>
      <c r="M123" t="s">
        <v>16</v>
      </c>
    </row>
    <row r="124" spans="1:13" x14ac:dyDescent="0.35">
      <c r="A124">
        <v>123</v>
      </c>
      <c r="B124">
        <v>51</v>
      </c>
      <c r="C124" t="str">
        <f>IF(Hospital[[#This Row],[Age]]&lt;=12,"Child",
IF(Hospital[[#This Row],[Age]]&lt;=19,"Teen",
IF(Hospital[[#This Row],[Age]]&lt;=35,"Young Adult",
IF(Hospital[[#This Row],[Age]]&lt;=59,"Adult",
"Senior"))))</f>
        <v>Adult</v>
      </c>
      <c r="D124" t="s">
        <v>0</v>
      </c>
      <c r="E124" s="1">
        <v>44949</v>
      </c>
      <c r="F124" s="1" t="str">
        <f t="shared" si="2"/>
        <v>January</v>
      </c>
      <c r="G124" t="s">
        <v>11</v>
      </c>
      <c r="H124" t="s">
        <v>7</v>
      </c>
      <c r="I124" t="s">
        <v>3</v>
      </c>
      <c r="J124" t="str">
        <f t="shared" si="3"/>
        <v>Error: Should be None</v>
      </c>
      <c r="K124">
        <v>9</v>
      </c>
      <c r="L124" s="2">
        <v>435.23</v>
      </c>
      <c r="M124" t="s">
        <v>4</v>
      </c>
    </row>
    <row r="125" spans="1:13" x14ac:dyDescent="0.35">
      <c r="A125">
        <v>124</v>
      </c>
      <c r="B125">
        <v>64</v>
      </c>
      <c r="C125" t="str">
        <f>IF(Hospital[[#This Row],[Age]]&lt;=12,"Child",
IF(Hospital[[#This Row],[Age]]&lt;=19,"Teen",
IF(Hospital[[#This Row],[Age]]&lt;=35,"Young Adult",
IF(Hospital[[#This Row],[Age]]&lt;=59,"Adult",
"Senior"))))</f>
        <v>Senior</v>
      </c>
      <c r="D125" t="s">
        <v>0</v>
      </c>
      <c r="E125" s="1">
        <v>45547</v>
      </c>
      <c r="F125" s="1" t="str">
        <f t="shared" si="2"/>
        <v>September</v>
      </c>
      <c r="G125" t="s">
        <v>1</v>
      </c>
      <c r="H125" t="s">
        <v>7</v>
      </c>
      <c r="I125" t="s">
        <v>3</v>
      </c>
      <c r="J125" t="str">
        <f t="shared" si="3"/>
        <v>Error: Should be None</v>
      </c>
      <c r="K125">
        <v>9</v>
      </c>
      <c r="L125" s="2">
        <v>404.93</v>
      </c>
      <c r="M125" t="s">
        <v>8</v>
      </c>
    </row>
    <row r="126" spans="1:13" x14ac:dyDescent="0.35">
      <c r="A126">
        <v>125</v>
      </c>
      <c r="B126">
        <v>80</v>
      </c>
      <c r="C126" t="str">
        <f>IF(Hospital[[#This Row],[Age]]&lt;=12,"Child",
IF(Hospital[[#This Row],[Age]]&lt;=19,"Teen",
IF(Hospital[[#This Row],[Age]]&lt;=35,"Young Adult",
IF(Hospital[[#This Row],[Age]]&lt;=59,"Adult",
"Senior"))))</f>
        <v>Senior</v>
      </c>
      <c r="D126" t="s">
        <v>0</v>
      </c>
      <c r="E126" s="1">
        <v>45578</v>
      </c>
      <c r="F126" s="1" t="str">
        <f t="shared" si="2"/>
        <v>October</v>
      </c>
      <c r="G126" t="s">
        <v>1</v>
      </c>
      <c r="H126" t="s">
        <v>17</v>
      </c>
      <c r="I126" t="s">
        <v>15</v>
      </c>
      <c r="J126" t="str">
        <f t="shared" si="3"/>
        <v>Error: Should be None</v>
      </c>
      <c r="K126">
        <v>10</v>
      </c>
      <c r="L126" s="2">
        <v>330.24</v>
      </c>
      <c r="M126" t="s">
        <v>16</v>
      </c>
    </row>
    <row r="127" spans="1:13" x14ac:dyDescent="0.35">
      <c r="A127">
        <v>126</v>
      </c>
      <c r="B127">
        <v>75</v>
      </c>
      <c r="C127" t="str">
        <f>IF(Hospital[[#This Row],[Age]]&lt;=12,"Child",
IF(Hospital[[#This Row],[Age]]&lt;=19,"Teen",
IF(Hospital[[#This Row],[Age]]&lt;=35,"Young Adult",
IF(Hospital[[#This Row],[Age]]&lt;=59,"Adult",
"Senior"))))</f>
        <v>Senior</v>
      </c>
      <c r="D127" t="s">
        <v>0</v>
      </c>
      <c r="E127" s="1">
        <v>45378</v>
      </c>
      <c r="F127" s="1" t="str">
        <f t="shared" si="2"/>
        <v>March</v>
      </c>
      <c r="G127" t="s">
        <v>1</v>
      </c>
      <c r="H127" t="s">
        <v>2</v>
      </c>
      <c r="I127" t="s">
        <v>3</v>
      </c>
      <c r="J127" t="str">
        <f t="shared" si="3"/>
        <v>Error: Should be None</v>
      </c>
      <c r="K127">
        <v>1</v>
      </c>
      <c r="L127" s="2">
        <v>456.62</v>
      </c>
      <c r="M127" t="s">
        <v>16</v>
      </c>
    </row>
    <row r="128" spans="1:13" x14ac:dyDescent="0.35">
      <c r="A128">
        <v>127</v>
      </c>
      <c r="B128">
        <v>26</v>
      </c>
      <c r="C12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28" t="s">
        <v>5</v>
      </c>
      <c r="E128" s="1">
        <v>45352</v>
      </c>
      <c r="F128" s="1" t="str">
        <f t="shared" si="2"/>
        <v>March</v>
      </c>
      <c r="G128" t="s">
        <v>19</v>
      </c>
      <c r="H128" t="s">
        <v>17</v>
      </c>
      <c r="I128" t="s">
        <v>3</v>
      </c>
      <c r="J128" t="str">
        <f t="shared" si="3"/>
        <v>Error: Should be None</v>
      </c>
      <c r="K128">
        <v>8</v>
      </c>
      <c r="L128" s="2">
        <v>458.47</v>
      </c>
      <c r="M128" t="s">
        <v>8</v>
      </c>
    </row>
    <row r="129" spans="1:13" x14ac:dyDescent="0.35">
      <c r="A129">
        <v>128</v>
      </c>
      <c r="B129">
        <v>38</v>
      </c>
      <c r="C129" t="str">
        <f>IF(Hospital[[#This Row],[Age]]&lt;=12,"Child",
IF(Hospital[[#This Row],[Age]]&lt;=19,"Teen",
IF(Hospital[[#This Row],[Age]]&lt;=35,"Young Adult",
IF(Hospital[[#This Row],[Age]]&lt;=59,"Adult",
"Senior"))))</f>
        <v>Adult</v>
      </c>
      <c r="D129" t="s">
        <v>0</v>
      </c>
      <c r="E129" s="1">
        <v>45190</v>
      </c>
      <c r="F129" s="1" t="str">
        <f t="shared" si="2"/>
        <v>September</v>
      </c>
      <c r="G129" t="s">
        <v>11</v>
      </c>
      <c r="H129" t="s">
        <v>12</v>
      </c>
      <c r="I129" t="s">
        <v>20</v>
      </c>
      <c r="J129" t="str">
        <f t="shared" si="3"/>
        <v>Error: Should be None</v>
      </c>
      <c r="K129">
        <v>1</v>
      </c>
      <c r="L129" s="2">
        <v>87.56</v>
      </c>
      <c r="M129" t="s">
        <v>8</v>
      </c>
    </row>
    <row r="130" spans="1:13" x14ac:dyDescent="0.35">
      <c r="A130">
        <v>129</v>
      </c>
      <c r="B130">
        <v>51</v>
      </c>
      <c r="C130" t="str">
        <f>IF(Hospital[[#This Row],[Age]]&lt;=12,"Child",
IF(Hospital[[#This Row],[Age]]&lt;=19,"Teen",
IF(Hospital[[#This Row],[Age]]&lt;=35,"Young Adult",
IF(Hospital[[#This Row],[Age]]&lt;=59,"Adult",
"Senior"))))</f>
        <v>Adult</v>
      </c>
      <c r="D130" t="s">
        <v>0</v>
      </c>
      <c r="E130" s="1">
        <v>45619</v>
      </c>
      <c r="F130" s="1" t="str">
        <f t="shared" si="2"/>
        <v>November</v>
      </c>
      <c r="G130" t="s">
        <v>11</v>
      </c>
      <c r="H130" t="s">
        <v>7</v>
      </c>
      <c r="I130" t="s">
        <v>3</v>
      </c>
      <c r="J130" t="str">
        <f t="shared" si="3"/>
        <v>Error: Should be None</v>
      </c>
      <c r="K130">
        <v>6</v>
      </c>
      <c r="L130" s="2">
        <v>26.68</v>
      </c>
      <c r="M130" t="s">
        <v>4</v>
      </c>
    </row>
    <row r="131" spans="1:13" x14ac:dyDescent="0.35">
      <c r="A131">
        <v>130</v>
      </c>
      <c r="B131">
        <v>34</v>
      </c>
      <c r="C13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31" t="s">
        <v>0</v>
      </c>
      <c r="E131" s="1">
        <v>45392</v>
      </c>
      <c r="F131" s="1" t="str">
        <f t="shared" ref="F131:F194" si="4">TEXT(E131, "mmmm")</f>
        <v>April</v>
      </c>
      <c r="G131" t="s">
        <v>19</v>
      </c>
      <c r="H131" t="s">
        <v>14</v>
      </c>
      <c r="I131" t="s">
        <v>15</v>
      </c>
      <c r="J131" t="str">
        <f t="shared" ref="J131:J194" si="5">IF(OR(G131="UTI", G131="Pneumonia", G131="Typhoid"),
   IF(H131="None","Error: Should have antibiotics","OK"),
   IF(H131&lt;&gt;"None","Error: Should be None","OK"))</f>
        <v>Error: Should be None</v>
      </c>
      <c r="K131">
        <v>10</v>
      </c>
      <c r="L131" s="2">
        <v>132.22999999999999</v>
      </c>
      <c r="M131" t="s">
        <v>4</v>
      </c>
    </row>
    <row r="132" spans="1:13" x14ac:dyDescent="0.35">
      <c r="A132">
        <v>131</v>
      </c>
      <c r="B132">
        <v>42</v>
      </c>
      <c r="C132" t="str">
        <f>IF(Hospital[[#This Row],[Age]]&lt;=12,"Child",
IF(Hospital[[#This Row],[Age]]&lt;=19,"Teen",
IF(Hospital[[#This Row],[Age]]&lt;=35,"Young Adult",
IF(Hospital[[#This Row],[Age]]&lt;=59,"Adult",
"Senior"))))</f>
        <v>Adult</v>
      </c>
      <c r="D132" t="s">
        <v>5</v>
      </c>
      <c r="E132" s="1">
        <v>45561</v>
      </c>
      <c r="F132" s="1" t="str">
        <f t="shared" si="4"/>
        <v>September</v>
      </c>
      <c r="G132" t="s">
        <v>11</v>
      </c>
      <c r="H132" t="s">
        <v>9</v>
      </c>
      <c r="I132" t="s">
        <v>3</v>
      </c>
      <c r="J132" t="str">
        <f t="shared" si="5"/>
        <v>Error: Should be None</v>
      </c>
      <c r="K132">
        <v>10</v>
      </c>
      <c r="L132" s="2">
        <v>415.45</v>
      </c>
      <c r="M132" t="s">
        <v>16</v>
      </c>
    </row>
    <row r="133" spans="1:13" x14ac:dyDescent="0.35">
      <c r="A133">
        <v>132</v>
      </c>
      <c r="B133">
        <v>15</v>
      </c>
      <c r="C133" t="str">
        <f>IF(Hospital[[#This Row],[Age]]&lt;=12,"Child",
IF(Hospital[[#This Row],[Age]]&lt;=19,"Teen",
IF(Hospital[[#This Row],[Age]]&lt;=35,"Young Adult",
IF(Hospital[[#This Row],[Age]]&lt;=59,"Adult",
"Senior"))))</f>
        <v>Teen</v>
      </c>
      <c r="D133" t="s">
        <v>5</v>
      </c>
      <c r="E133" s="1">
        <v>45591</v>
      </c>
      <c r="F133" s="1" t="str">
        <f t="shared" si="4"/>
        <v>October</v>
      </c>
      <c r="G133" t="s">
        <v>11</v>
      </c>
      <c r="H133" t="s">
        <v>12</v>
      </c>
      <c r="I133" t="s">
        <v>15</v>
      </c>
      <c r="J133" t="str">
        <f t="shared" si="5"/>
        <v>Error: Should be None</v>
      </c>
      <c r="K133">
        <v>4</v>
      </c>
      <c r="L133" s="2">
        <v>498.05</v>
      </c>
      <c r="M133" t="s">
        <v>4</v>
      </c>
    </row>
    <row r="134" spans="1:13" x14ac:dyDescent="0.35">
      <c r="A134">
        <v>133</v>
      </c>
      <c r="B134">
        <v>69</v>
      </c>
      <c r="C134" t="str">
        <f>IF(Hospital[[#This Row],[Age]]&lt;=12,"Child",
IF(Hospital[[#This Row],[Age]]&lt;=19,"Teen",
IF(Hospital[[#This Row],[Age]]&lt;=35,"Young Adult",
IF(Hospital[[#This Row],[Age]]&lt;=59,"Adult",
"Senior"))))</f>
        <v>Senior</v>
      </c>
      <c r="D134" t="s">
        <v>5</v>
      </c>
      <c r="E134" s="1">
        <v>45026</v>
      </c>
      <c r="F134" s="1" t="str">
        <f t="shared" si="4"/>
        <v>April</v>
      </c>
      <c r="G134" t="s">
        <v>6</v>
      </c>
      <c r="H134" t="s">
        <v>17</v>
      </c>
      <c r="I134" t="s">
        <v>20</v>
      </c>
      <c r="J134" t="str">
        <f t="shared" si="5"/>
        <v>Error: Should be None</v>
      </c>
      <c r="K134">
        <v>5</v>
      </c>
      <c r="L134" s="2">
        <v>341.83</v>
      </c>
      <c r="M134" t="s">
        <v>10</v>
      </c>
    </row>
    <row r="135" spans="1:13" x14ac:dyDescent="0.35">
      <c r="A135">
        <v>134</v>
      </c>
      <c r="B135">
        <v>20</v>
      </c>
      <c r="C13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35" t="s">
        <v>0</v>
      </c>
      <c r="E135" s="1">
        <v>45528</v>
      </c>
      <c r="F135" s="1" t="str">
        <f t="shared" si="4"/>
        <v>August</v>
      </c>
      <c r="G135" t="s">
        <v>11</v>
      </c>
      <c r="H135" t="s">
        <v>7</v>
      </c>
      <c r="I135" t="s">
        <v>3</v>
      </c>
      <c r="J135" t="str">
        <f t="shared" si="5"/>
        <v>Error: Should be None</v>
      </c>
      <c r="K135">
        <v>7</v>
      </c>
      <c r="L135" s="2">
        <v>315.51</v>
      </c>
      <c r="M135" t="s">
        <v>16</v>
      </c>
    </row>
    <row r="136" spans="1:13" x14ac:dyDescent="0.35">
      <c r="A136">
        <v>135</v>
      </c>
      <c r="B136">
        <v>48</v>
      </c>
      <c r="C136" t="str">
        <f>IF(Hospital[[#This Row],[Age]]&lt;=12,"Child",
IF(Hospital[[#This Row],[Age]]&lt;=19,"Teen",
IF(Hospital[[#This Row],[Age]]&lt;=35,"Young Adult",
IF(Hospital[[#This Row],[Age]]&lt;=59,"Adult",
"Senior"))))</f>
        <v>Adult</v>
      </c>
      <c r="D136" t="s">
        <v>5</v>
      </c>
      <c r="E136" s="1">
        <v>44960</v>
      </c>
      <c r="F136" s="1" t="str">
        <f t="shared" si="4"/>
        <v>February</v>
      </c>
      <c r="G136" t="s">
        <v>6</v>
      </c>
      <c r="H136" t="s">
        <v>7</v>
      </c>
      <c r="I136" t="s">
        <v>3</v>
      </c>
      <c r="J136" t="str">
        <f t="shared" si="5"/>
        <v>Error: Should be None</v>
      </c>
      <c r="K136">
        <v>7</v>
      </c>
      <c r="L136" s="2">
        <v>476.27</v>
      </c>
      <c r="M136" t="s">
        <v>16</v>
      </c>
    </row>
    <row r="137" spans="1:13" x14ac:dyDescent="0.35">
      <c r="A137">
        <v>136</v>
      </c>
      <c r="B137">
        <v>48</v>
      </c>
      <c r="C137" t="str">
        <f>IF(Hospital[[#This Row],[Age]]&lt;=12,"Child",
IF(Hospital[[#This Row],[Age]]&lt;=19,"Teen",
IF(Hospital[[#This Row],[Age]]&lt;=35,"Young Adult",
IF(Hospital[[#This Row],[Age]]&lt;=59,"Adult",
"Senior"))))</f>
        <v>Adult</v>
      </c>
      <c r="D137" t="s">
        <v>0</v>
      </c>
      <c r="E137" s="1">
        <v>45028</v>
      </c>
      <c r="F137" s="1" t="str">
        <f t="shared" si="4"/>
        <v>April</v>
      </c>
      <c r="G137" t="s">
        <v>11</v>
      </c>
      <c r="H137" t="s">
        <v>7</v>
      </c>
      <c r="I137" t="s">
        <v>3</v>
      </c>
      <c r="J137" t="str">
        <f t="shared" si="5"/>
        <v>Error: Should be None</v>
      </c>
      <c r="K137">
        <v>6</v>
      </c>
      <c r="L137" s="2">
        <v>152.41999999999999</v>
      </c>
      <c r="M137" t="s">
        <v>4</v>
      </c>
    </row>
    <row r="138" spans="1:13" x14ac:dyDescent="0.35">
      <c r="A138">
        <v>137</v>
      </c>
      <c r="B138">
        <v>85</v>
      </c>
      <c r="C138" t="str">
        <f>IF(Hospital[[#This Row],[Age]]&lt;=12,"Child",
IF(Hospital[[#This Row],[Age]]&lt;=19,"Teen",
IF(Hospital[[#This Row],[Age]]&lt;=35,"Young Adult",
IF(Hospital[[#This Row],[Age]]&lt;=59,"Adult",
"Senior"))))</f>
        <v>Senior</v>
      </c>
      <c r="D138" t="s">
        <v>5</v>
      </c>
      <c r="E138" s="1">
        <v>45392</v>
      </c>
      <c r="F138" s="1" t="str">
        <f t="shared" si="4"/>
        <v>April</v>
      </c>
      <c r="G138" t="s">
        <v>11</v>
      </c>
      <c r="H138" t="s">
        <v>2</v>
      </c>
      <c r="I138" t="s">
        <v>3</v>
      </c>
      <c r="J138" t="str">
        <f t="shared" si="5"/>
        <v>Error: Should be None</v>
      </c>
      <c r="K138">
        <v>0</v>
      </c>
      <c r="L138" s="2">
        <v>397.66</v>
      </c>
      <c r="M138" t="s">
        <v>8</v>
      </c>
    </row>
    <row r="139" spans="1:13" x14ac:dyDescent="0.35">
      <c r="A139">
        <v>138</v>
      </c>
      <c r="B139">
        <v>27</v>
      </c>
      <c r="C13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39" t="s">
        <v>5</v>
      </c>
      <c r="E139" s="1">
        <v>45055</v>
      </c>
      <c r="F139" s="1" t="str">
        <f t="shared" si="4"/>
        <v>May</v>
      </c>
      <c r="G139" t="s">
        <v>1</v>
      </c>
      <c r="H139" t="s">
        <v>9</v>
      </c>
      <c r="I139" t="s">
        <v>3</v>
      </c>
      <c r="J139" t="str">
        <f t="shared" si="5"/>
        <v>Error: Should be None</v>
      </c>
      <c r="K139">
        <v>9</v>
      </c>
      <c r="L139" s="2">
        <v>123.66</v>
      </c>
      <c r="M139" t="s">
        <v>8</v>
      </c>
    </row>
    <row r="140" spans="1:13" x14ac:dyDescent="0.35">
      <c r="A140">
        <v>139</v>
      </c>
      <c r="B140">
        <v>77</v>
      </c>
      <c r="C140" t="str">
        <f>IF(Hospital[[#This Row],[Age]]&lt;=12,"Child",
IF(Hospital[[#This Row],[Age]]&lt;=19,"Teen",
IF(Hospital[[#This Row],[Age]]&lt;=35,"Young Adult",
IF(Hospital[[#This Row],[Age]]&lt;=59,"Adult",
"Senior"))))</f>
        <v>Senior</v>
      </c>
      <c r="D140" t="s">
        <v>5</v>
      </c>
      <c r="E140" s="1">
        <v>45263</v>
      </c>
      <c r="F140" s="1" t="str">
        <f t="shared" si="4"/>
        <v>December</v>
      </c>
      <c r="G140" t="s">
        <v>19</v>
      </c>
      <c r="H140" t="s">
        <v>17</v>
      </c>
      <c r="I140" t="s">
        <v>13</v>
      </c>
      <c r="J140" t="str">
        <f t="shared" si="5"/>
        <v>Error: Should be None</v>
      </c>
      <c r="K140">
        <v>2</v>
      </c>
      <c r="L140" s="2">
        <v>279.3</v>
      </c>
      <c r="M140" t="s">
        <v>8</v>
      </c>
    </row>
    <row r="141" spans="1:13" x14ac:dyDescent="0.35">
      <c r="A141">
        <v>140</v>
      </c>
      <c r="B141">
        <v>4</v>
      </c>
      <c r="C141" t="str">
        <f>IF(Hospital[[#This Row],[Age]]&lt;=12,"Child",
IF(Hospital[[#This Row],[Age]]&lt;=19,"Teen",
IF(Hospital[[#This Row],[Age]]&lt;=35,"Young Adult",
IF(Hospital[[#This Row],[Age]]&lt;=59,"Adult",
"Senior"))))</f>
        <v>Child</v>
      </c>
      <c r="D141" t="s">
        <v>5</v>
      </c>
      <c r="E141" s="1">
        <v>45039</v>
      </c>
      <c r="F141" s="1" t="str">
        <f t="shared" si="4"/>
        <v>April</v>
      </c>
      <c r="G141" t="s">
        <v>11</v>
      </c>
      <c r="H141" t="s">
        <v>7</v>
      </c>
      <c r="I141" t="s">
        <v>3</v>
      </c>
      <c r="J141" t="str">
        <f t="shared" si="5"/>
        <v>Error: Should be None</v>
      </c>
      <c r="K141">
        <v>5</v>
      </c>
      <c r="L141" s="2">
        <v>399.19</v>
      </c>
      <c r="M141" t="s">
        <v>8</v>
      </c>
    </row>
    <row r="142" spans="1:13" x14ac:dyDescent="0.35">
      <c r="A142">
        <v>141</v>
      </c>
      <c r="B142">
        <v>3</v>
      </c>
      <c r="C142" t="str">
        <f>IF(Hospital[[#This Row],[Age]]&lt;=12,"Child",
IF(Hospital[[#This Row],[Age]]&lt;=19,"Teen",
IF(Hospital[[#This Row],[Age]]&lt;=35,"Young Adult",
IF(Hospital[[#This Row],[Age]]&lt;=59,"Adult",
"Senior"))))</f>
        <v>Child</v>
      </c>
      <c r="D142" t="s">
        <v>5</v>
      </c>
      <c r="E142" s="1">
        <v>45529</v>
      </c>
      <c r="F142" s="1" t="str">
        <f t="shared" si="4"/>
        <v>August</v>
      </c>
      <c r="G142" t="s">
        <v>19</v>
      </c>
      <c r="H142" t="s">
        <v>14</v>
      </c>
      <c r="I142" t="s">
        <v>15</v>
      </c>
      <c r="J142" t="str">
        <f t="shared" si="5"/>
        <v>Error: Should be None</v>
      </c>
      <c r="K142">
        <v>2</v>
      </c>
      <c r="L142" s="2">
        <v>376.02</v>
      </c>
      <c r="M142" t="s">
        <v>4</v>
      </c>
    </row>
    <row r="143" spans="1:13" x14ac:dyDescent="0.35">
      <c r="A143">
        <v>142</v>
      </c>
      <c r="B143">
        <v>58</v>
      </c>
      <c r="C143" t="str">
        <f>IF(Hospital[[#This Row],[Age]]&lt;=12,"Child",
IF(Hospital[[#This Row],[Age]]&lt;=19,"Teen",
IF(Hospital[[#This Row],[Age]]&lt;=35,"Young Adult",
IF(Hospital[[#This Row],[Age]]&lt;=59,"Adult",
"Senior"))))</f>
        <v>Adult</v>
      </c>
      <c r="D143" t="s">
        <v>0</v>
      </c>
      <c r="E143" s="1">
        <v>44992</v>
      </c>
      <c r="F143" s="1" t="str">
        <f t="shared" si="4"/>
        <v>March</v>
      </c>
      <c r="G143" t="s">
        <v>11</v>
      </c>
      <c r="H143" t="s">
        <v>12</v>
      </c>
      <c r="I143" t="s">
        <v>20</v>
      </c>
      <c r="J143" t="str">
        <f t="shared" si="5"/>
        <v>Error: Should be None</v>
      </c>
      <c r="K143">
        <v>8</v>
      </c>
      <c r="L143" s="2">
        <v>126.34</v>
      </c>
      <c r="M143" t="s">
        <v>4</v>
      </c>
    </row>
    <row r="144" spans="1:13" x14ac:dyDescent="0.35">
      <c r="A144">
        <v>143</v>
      </c>
      <c r="B144">
        <v>39</v>
      </c>
      <c r="C144" t="str">
        <f>IF(Hospital[[#This Row],[Age]]&lt;=12,"Child",
IF(Hospital[[#This Row],[Age]]&lt;=19,"Teen",
IF(Hospital[[#This Row],[Age]]&lt;=35,"Young Adult",
IF(Hospital[[#This Row],[Age]]&lt;=59,"Adult",
"Senior"))))</f>
        <v>Adult</v>
      </c>
      <c r="D144" t="s">
        <v>0</v>
      </c>
      <c r="E144" s="1">
        <v>45601</v>
      </c>
      <c r="F144" s="1" t="str">
        <f t="shared" si="4"/>
        <v>November</v>
      </c>
      <c r="G144" t="s">
        <v>11</v>
      </c>
      <c r="H144" t="s">
        <v>9</v>
      </c>
      <c r="I144" t="s">
        <v>3</v>
      </c>
      <c r="J144" t="str">
        <f t="shared" si="5"/>
        <v>Error: Should be None</v>
      </c>
      <c r="K144">
        <v>0</v>
      </c>
      <c r="L144" s="2">
        <v>499.32</v>
      </c>
      <c r="M144" t="s">
        <v>10</v>
      </c>
    </row>
    <row r="145" spans="1:13" x14ac:dyDescent="0.35">
      <c r="A145">
        <v>144</v>
      </c>
      <c r="B145">
        <v>14</v>
      </c>
      <c r="C145" t="str">
        <f>IF(Hospital[[#This Row],[Age]]&lt;=12,"Child",
IF(Hospital[[#This Row],[Age]]&lt;=19,"Teen",
IF(Hospital[[#This Row],[Age]]&lt;=35,"Young Adult",
IF(Hospital[[#This Row],[Age]]&lt;=59,"Adult",
"Senior"))))</f>
        <v>Teen</v>
      </c>
      <c r="D145" t="s">
        <v>0</v>
      </c>
      <c r="E145" s="1">
        <v>45363</v>
      </c>
      <c r="F145" s="1" t="str">
        <f t="shared" si="4"/>
        <v>March</v>
      </c>
      <c r="G145" t="s">
        <v>6</v>
      </c>
      <c r="H145" t="s">
        <v>7</v>
      </c>
      <c r="I145" t="s">
        <v>3</v>
      </c>
      <c r="J145" t="str">
        <f t="shared" si="5"/>
        <v>Error: Should be None</v>
      </c>
      <c r="K145">
        <v>1</v>
      </c>
      <c r="L145" s="2">
        <v>451.65</v>
      </c>
      <c r="M145" t="s">
        <v>16</v>
      </c>
    </row>
    <row r="146" spans="1:13" x14ac:dyDescent="0.35">
      <c r="A146">
        <v>145</v>
      </c>
      <c r="B146">
        <v>9</v>
      </c>
      <c r="C146" t="str">
        <f>IF(Hospital[[#This Row],[Age]]&lt;=12,"Child",
IF(Hospital[[#This Row],[Age]]&lt;=19,"Teen",
IF(Hospital[[#This Row],[Age]]&lt;=35,"Young Adult",
IF(Hospital[[#This Row],[Age]]&lt;=59,"Adult",
"Senior"))))</f>
        <v>Child</v>
      </c>
      <c r="D146" t="s">
        <v>5</v>
      </c>
      <c r="E146" s="1">
        <v>45549</v>
      </c>
      <c r="F146" s="1" t="str">
        <f t="shared" si="4"/>
        <v>September</v>
      </c>
      <c r="G146" t="s">
        <v>19</v>
      </c>
      <c r="H146" t="s">
        <v>17</v>
      </c>
      <c r="I146" t="s">
        <v>3</v>
      </c>
      <c r="J146" t="str">
        <f t="shared" si="5"/>
        <v>Error: Should be None</v>
      </c>
      <c r="K146">
        <v>10</v>
      </c>
      <c r="L146" s="2">
        <v>300.98</v>
      </c>
      <c r="M146" t="s">
        <v>16</v>
      </c>
    </row>
    <row r="147" spans="1:13" x14ac:dyDescent="0.35">
      <c r="A147">
        <v>146</v>
      </c>
      <c r="B147">
        <v>68</v>
      </c>
      <c r="C147" t="str">
        <f>IF(Hospital[[#This Row],[Age]]&lt;=12,"Child",
IF(Hospital[[#This Row],[Age]]&lt;=19,"Teen",
IF(Hospital[[#This Row],[Age]]&lt;=35,"Young Adult",
IF(Hospital[[#This Row],[Age]]&lt;=59,"Adult",
"Senior"))))</f>
        <v>Senior</v>
      </c>
      <c r="D147" t="s">
        <v>0</v>
      </c>
      <c r="E147" s="1">
        <v>45317</v>
      </c>
      <c r="F147" s="1" t="str">
        <f t="shared" si="4"/>
        <v>January</v>
      </c>
      <c r="G147" t="s">
        <v>6</v>
      </c>
      <c r="H147" t="s">
        <v>9</v>
      </c>
      <c r="I147" t="s">
        <v>3</v>
      </c>
      <c r="J147" t="str">
        <f t="shared" si="5"/>
        <v>Error: Should be None</v>
      </c>
      <c r="K147">
        <v>8</v>
      </c>
      <c r="L147" s="2">
        <v>310.60000000000002</v>
      </c>
      <c r="M147" t="s">
        <v>4</v>
      </c>
    </row>
    <row r="148" spans="1:13" x14ac:dyDescent="0.35">
      <c r="A148">
        <v>147</v>
      </c>
      <c r="B148">
        <v>84</v>
      </c>
      <c r="C148" t="str">
        <f>IF(Hospital[[#This Row],[Age]]&lt;=12,"Child",
IF(Hospital[[#This Row],[Age]]&lt;=19,"Teen",
IF(Hospital[[#This Row],[Age]]&lt;=35,"Young Adult",
IF(Hospital[[#This Row],[Age]]&lt;=59,"Adult",
"Senior"))))</f>
        <v>Senior</v>
      </c>
      <c r="D148" t="s">
        <v>5</v>
      </c>
      <c r="E148" s="1">
        <v>45645</v>
      </c>
      <c r="F148" s="1" t="str">
        <f t="shared" si="4"/>
        <v>December</v>
      </c>
      <c r="G148" t="s">
        <v>6</v>
      </c>
      <c r="H148" t="s">
        <v>2</v>
      </c>
      <c r="I148" t="s">
        <v>3</v>
      </c>
      <c r="J148" t="str">
        <f t="shared" si="5"/>
        <v>Error: Should be None</v>
      </c>
      <c r="K148">
        <v>7</v>
      </c>
      <c r="L148" s="2">
        <v>446.28</v>
      </c>
      <c r="M148" t="s">
        <v>10</v>
      </c>
    </row>
    <row r="149" spans="1:13" x14ac:dyDescent="0.35">
      <c r="A149">
        <v>148</v>
      </c>
      <c r="B149">
        <v>52</v>
      </c>
      <c r="C149" t="str">
        <f>IF(Hospital[[#This Row],[Age]]&lt;=12,"Child",
IF(Hospital[[#This Row],[Age]]&lt;=19,"Teen",
IF(Hospital[[#This Row],[Age]]&lt;=35,"Young Adult",
IF(Hospital[[#This Row],[Age]]&lt;=59,"Adult",
"Senior"))))</f>
        <v>Adult</v>
      </c>
      <c r="D149" t="s">
        <v>0</v>
      </c>
      <c r="E149" s="1">
        <v>45274</v>
      </c>
      <c r="F149" s="1" t="str">
        <f t="shared" si="4"/>
        <v>December</v>
      </c>
      <c r="G149" t="s">
        <v>11</v>
      </c>
      <c r="H149" t="s">
        <v>12</v>
      </c>
      <c r="I149" t="s">
        <v>18</v>
      </c>
      <c r="J149" t="str">
        <f t="shared" si="5"/>
        <v>Error: Should be None</v>
      </c>
      <c r="K149">
        <v>6</v>
      </c>
      <c r="L149" s="2">
        <v>170.01</v>
      </c>
      <c r="M149" t="s">
        <v>16</v>
      </c>
    </row>
    <row r="150" spans="1:13" x14ac:dyDescent="0.35">
      <c r="A150">
        <v>149</v>
      </c>
      <c r="B150">
        <v>61</v>
      </c>
      <c r="C150" t="str">
        <f>IF(Hospital[[#This Row],[Age]]&lt;=12,"Child",
IF(Hospital[[#This Row],[Age]]&lt;=19,"Teen",
IF(Hospital[[#This Row],[Age]]&lt;=35,"Young Adult",
IF(Hospital[[#This Row],[Age]]&lt;=59,"Adult",
"Senior"))))</f>
        <v>Senior</v>
      </c>
      <c r="D150" t="s">
        <v>5</v>
      </c>
      <c r="E150" s="1">
        <v>45310</v>
      </c>
      <c r="F150" s="1" t="str">
        <f t="shared" si="4"/>
        <v>January</v>
      </c>
      <c r="G150" t="s">
        <v>11</v>
      </c>
      <c r="H150" t="s">
        <v>17</v>
      </c>
      <c r="I150" t="s">
        <v>15</v>
      </c>
      <c r="J150" t="str">
        <f t="shared" si="5"/>
        <v>Error: Should be None</v>
      </c>
      <c r="K150">
        <v>1</v>
      </c>
      <c r="L150" s="2">
        <v>227.3</v>
      </c>
      <c r="M150" t="s">
        <v>16</v>
      </c>
    </row>
    <row r="151" spans="1:13" x14ac:dyDescent="0.35">
      <c r="A151">
        <v>150</v>
      </c>
      <c r="B151">
        <v>8</v>
      </c>
      <c r="C151" t="str">
        <f>IF(Hospital[[#This Row],[Age]]&lt;=12,"Child",
IF(Hospital[[#This Row],[Age]]&lt;=19,"Teen",
IF(Hospital[[#This Row],[Age]]&lt;=35,"Young Adult",
IF(Hospital[[#This Row],[Age]]&lt;=59,"Adult",
"Senior"))))</f>
        <v>Child</v>
      </c>
      <c r="D151" t="s">
        <v>0</v>
      </c>
      <c r="E151" s="1">
        <v>45060</v>
      </c>
      <c r="F151" s="1" t="str">
        <f t="shared" si="4"/>
        <v>May</v>
      </c>
      <c r="G151" t="s">
        <v>11</v>
      </c>
      <c r="H151" t="s">
        <v>9</v>
      </c>
      <c r="I151" t="s">
        <v>3</v>
      </c>
      <c r="J151" t="str">
        <f t="shared" si="5"/>
        <v>Error: Should be None</v>
      </c>
      <c r="K151">
        <v>6</v>
      </c>
      <c r="L151" s="2">
        <v>189.73</v>
      </c>
      <c r="M151" t="s">
        <v>10</v>
      </c>
    </row>
    <row r="152" spans="1:13" x14ac:dyDescent="0.35">
      <c r="A152">
        <v>151</v>
      </c>
      <c r="B152">
        <v>77</v>
      </c>
      <c r="C152" t="str">
        <f>IF(Hospital[[#This Row],[Age]]&lt;=12,"Child",
IF(Hospital[[#This Row],[Age]]&lt;=19,"Teen",
IF(Hospital[[#This Row],[Age]]&lt;=35,"Young Adult",
IF(Hospital[[#This Row],[Age]]&lt;=59,"Adult",
"Senior"))))</f>
        <v>Senior</v>
      </c>
      <c r="D152" t="s">
        <v>0</v>
      </c>
      <c r="E152" s="1">
        <v>44979</v>
      </c>
      <c r="F152" s="1" t="str">
        <f t="shared" si="4"/>
        <v>February</v>
      </c>
      <c r="G152" t="s">
        <v>19</v>
      </c>
      <c r="H152" t="s">
        <v>14</v>
      </c>
      <c r="I152" t="s">
        <v>15</v>
      </c>
      <c r="J152" t="str">
        <f t="shared" si="5"/>
        <v>Error: Should be None</v>
      </c>
      <c r="K152">
        <v>9</v>
      </c>
      <c r="L152" s="2">
        <v>263.56</v>
      </c>
      <c r="M152" t="s">
        <v>8</v>
      </c>
    </row>
    <row r="153" spans="1:13" x14ac:dyDescent="0.35">
      <c r="A153">
        <v>152</v>
      </c>
      <c r="B153">
        <v>29</v>
      </c>
      <c r="C15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53" t="s">
        <v>5</v>
      </c>
      <c r="E153" s="1">
        <v>45599</v>
      </c>
      <c r="F153" s="1" t="str">
        <f t="shared" si="4"/>
        <v>November</v>
      </c>
      <c r="G153" t="s">
        <v>19</v>
      </c>
      <c r="H153" t="s">
        <v>12</v>
      </c>
      <c r="I153" t="s">
        <v>3</v>
      </c>
      <c r="J153" t="str">
        <f t="shared" si="5"/>
        <v>Error: Should be None</v>
      </c>
      <c r="K153">
        <v>5</v>
      </c>
      <c r="L153" s="2">
        <v>75.14</v>
      </c>
      <c r="M153" t="s">
        <v>16</v>
      </c>
    </row>
    <row r="154" spans="1:13" x14ac:dyDescent="0.35">
      <c r="A154">
        <v>153</v>
      </c>
      <c r="B154">
        <v>55</v>
      </c>
      <c r="C154" t="str">
        <f>IF(Hospital[[#This Row],[Age]]&lt;=12,"Child",
IF(Hospital[[#This Row],[Age]]&lt;=19,"Teen",
IF(Hospital[[#This Row],[Age]]&lt;=35,"Young Adult",
IF(Hospital[[#This Row],[Age]]&lt;=59,"Adult",
"Senior"))))</f>
        <v>Adult</v>
      </c>
      <c r="D154" t="s">
        <v>5</v>
      </c>
      <c r="E154" s="1">
        <v>45514</v>
      </c>
      <c r="F154" s="1" t="str">
        <f t="shared" si="4"/>
        <v>August</v>
      </c>
      <c r="G154" t="s">
        <v>19</v>
      </c>
      <c r="H154" t="s">
        <v>17</v>
      </c>
      <c r="I154" t="s">
        <v>15</v>
      </c>
      <c r="J154" t="str">
        <f t="shared" si="5"/>
        <v>Error: Should be None</v>
      </c>
      <c r="K154">
        <v>2</v>
      </c>
      <c r="L154" s="2">
        <v>151.16999999999999</v>
      </c>
      <c r="M154" t="s">
        <v>16</v>
      </c>
    </row>
    <row r="155" spans="1:13" x14ac:dyDescent="0.35">
      <c r="A155">
        <v>154</v>
      </c>
      <c r="B155">
        <v>1</v>
      </c>
      <c r="C155" t="str">
        <f>IF(Hospital[[#This Row],[Age]]&lt;=12,"Child",
IF(Hospital[[#This Row],[Age]]&lt;=19,"Teen",
IF(Hospital[[#This Row],[Age]]&lt;=35,"Young Adult",
IF(Hospital[[#This Row],[Age]]&lt;=59,"Adult",
"Senior"))))</f>
        <v>Child</v>
      </c>
      <c r="D155" t="s">
        <v>5</v>
      </c>
      <c r="E155" s="1">
        <v>45274</v>
      </c>
      <c r="F155" s="1" t="str">
        <f t="shared" si="4"/>
        <v>December</v>
      </c>
      <c r="G155" t="s">
        <v>1</v>
      </c>
      <c r="H155" t="s">
        <v>14</v>
      </c>
      <c r="I155" t="s">
        <v>3</v>
      </c>
      <c r="J155" t="str">
        <f t="shared" si="5"/>
        <v>Error: Should be None</v>
      </c>
      <c r="K155">
        <v>10</v>
      </c>
      <c r="L155" s="2">
        <v>212.38</v>
      </c>
      <c r="M155" t="s">
        <v>8</v>
      </c>
    </row>
    <row r="156" spans="1:13" x14ac:dyDescent="0.35">
      <c r="A156">
        <v>155</v>
      </c>
      <c r="B156">
        <v>12</v>
      </c>
      <c r="C156" t="str">
        <f>IF(Hospital[[#This Row],[Age]]&lt;=12,"Child",
IF(Hospital[[#This Row],[Age]]&lt;=19,"Teen",
IF(Hospital[[#This Row],[Age]]&lt;=35,"Young Adult",
IF(Hospital[[#This Row],[Age]]&lt;=59,"Adult",
"Senior"))))</f>
        <v>Child</v>
      </c>
      <c r="D156" t="s">
        <v>5</v>
      </c>
      <c r="E156" s="1">
        <v>45575</v>
      </c>
      <c r="F156" s="1" t="str">
        <f t="shared" si="4"/>
        <v>October</v>
      </c>
      <c r="G156" t="s">
        <v>6</v>
      </c>
      <c r="H156" t="s">
        <v>2</v>
      </c>
      <c r="I156" t="s">
        <v>3</v>
      </c>
      <c r="J156" t="str">
        <f t="shared" si="5"/>
        <v>Error: Should be None</v>
      </c>
      <c r="K156">
        <v>6</v>
      </c>
      <c r="L156" s="2">
        <v>237.75</v>
      </c>
      <c r="M156" t="s">
        <v>8</v>
      </c>
    </row>
    <row r="157" spans="1:13" x14ac:dyDescent="0.35">
      <c r="A157">
        <v>156</v>
      </c>
      <c r="B157">
        <v>42</v>
      </c>
      <c r="C157" t="str">
        <f>IF(Hospital[[#This Row],[Age]]&lt;=12,"Child",
IF(Hospital[[#This Row],[Age]]&lt;=19,"Teen",
IF(Hospital[[#This Row],[Age]]&lt;=35,"Young Adult",
IF(Hospital[[#This Row],[Age]]&lt;=59,"Adult",
"Senior"))))</f>
        <v>Adult</v>
      </c>
      <c r="D157" t="s">
        <v>5</v>
      </c>
      <c r="E157" s="1">
        <v>45305</v>
      </c>
      <c r="F157" s="1" t="str">
        <f t="shared" si="4"/>
        <v>January</v>
      </c>
      <c r="G157" t="s">
        <v>11</v>
      </c>
      <c r="H157" t="s">
        <v>14</v>
      </c>
      <c r="I157" t="s">
        <v>13</v>
      </c>
      <c r="J157" t="str">
        <f t="shared" si="5"/>
        <v>Error: Should be None</v>
      </c>
      <c r="K157">
        <v>2</v>
      </c>
      <c r="L157" s="2">
        <v>382.13</v>
      </c>
      <c r="M157" t="s">
        <v>4</v>
      </c>
    </row>
    <row r="158" spans="1:13" x14ac:dyDescent="0.35">
      <c r="A158">
        <v>157</v>
      </c>
      <c r="B158">
        <v>35</v>
      </c>
      <c r="C15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58" t="s">
        <v>0</v>
      </c>
      <c r="E158" s="1">
        <v>45617</v>
      </c>
      <c r="F158" s="1" t="str">
        <f t="shared" si="4"/>
        <v>November</v>
      </c>
      <c r="G158" t="s">
        <v>6</v>
      </c>
      <c r="H158" t="s">
        <v>2</v>
      </c>
      <c r="I158" t="s">
        <v>3</v>
      </c>
      <c r="J158" t="str">
        <f t="shared" si="5"/>
        <v>Error: Should be None</v>
      </c>
      <c r="K158">
        <v>7</v>
      </c>
      <c r="L158" s="2">
        <v>311.39999999999998</v>
      </c>
      <c r="M158" t="s">
        <v>10</v>
      </c>
    </row>
    <row r="159" spans="1:13" x14ac:dyDescent="0.35">
      <c r="A159">
        <v>158</v>
      </c>
      <c r="B159">
        <v>66</v>
      </c>
      <c r="C159" t="str">
        <f>IF(Hospital[[#This Row],[Age]]&lt;=12,"Child",
IF(Hospital[[#This Row],[Age]]&lt;=19,"Teen",
IF(Hospital[[#This Row],[Age]]&lt;=35,"Young Adult",
IF(Hospital[[#This Row],[Age]]&lt;=59,"Adult",
"Senior"))))</f>
        <v>Senior</v>
      </c>
      <c r="D159" t="s">
        <v>5</v>
      </c>
      <c r="E159" s="1">
        <v>45206</v>
      </c>
      <c r="F159" s="1" t="str">
        <f t="shared" si="4"/>
        <v>October</v>
      </c>
      <c r="G159" t="s">
        <v>19</v>
      </c>
      <c r="H159" t="s">
        <v>17</v>
      </c>
      <c r="I159" t="s">
        <v>20</v>
      </c>
      <c r="J159" t="str">
        <f t="shared" si="5"/>
        <v>Error: Should be None</v>
      </c>
      <c r="K159">
        <v>1</v>
      </c>
      <c r="L159" s="2">
        <v>155.96</v>
      </c>
      <c r="M159" t="s">
        <v>10</v>
      </c>
    </row>
    <row r="160" spans="1:13" x14ac:dyDescent="0.35">
      <c r="A160">
        <v>159</v>
      </c>
      <c r="B160">
        <v>40</v>
      </c>
      <c r="C160" t="str">
        <f>IF(Hospital[[#This Row],[Age]]&lt;=12,"Child",
IF(Hospital[[#This Row],[Age]]&lt;=19,"Teen",
IF(Hospital[[#This Row],[Age]]&lt;=35,"Young Adult",
IF(Hospital[[#This Row],[Age]]&lt;=59,"Adult",
"Senior"))))</f>
        <v>Adult</v>
      </c>
      <c r="D160" t="s">
        <v>5</v>
      </c>
      <c r="E160" s="1">
        <v>45466</v>
      </c>
      <c r="F160" s="1" t="str">
        <f t="shared" si="4"/>
        <v>June</v>
      </c>
      <c r="G160" t="s">
        <v>1</v>
      </c>
      <c r="H160" t="s">
        <v>7</v>
      </c>
      <c r="I160" t="s">
        <v>3</v>
      </c>
      <c r="J160" t="str">
        <f t="shared" si="5"/>
        <v>Error: Should be None</v>
      </c>
      <c r="K160">
        <v>6</v>
      </c>
      <c r="L160" s="2">
        <v>492.53</v>
      </c>
      <c r="M160" t="s">
        <v>4</v>
      </c>
    </row>
    <row r="161" spans="1:13" x14ac:dyDescent="0.35">
      <c r="A161">
        <v>160</v>
      </c>
      <c r="B161">
        <v>39</v>
      </c>
      <c r="C161" t="str">
        <f>IF(Hospital[[#This Row],[Age]]&lt;=12,"Child",
IF(Hospital[[#This Row],[Age]]&lt;=19,"Teen",
IF(Hospital[[#This Row],[Age]]&lt;=35,"Young Adult",
IF(Hospital[[#This Row],[Age]]&lt;=59,"Adult",
"Senior"))))</f>
        <v>Adult</v>
      </c>
      <c r="D161" t="s">
        <v>5</v>
      </c>
      <c r="E161" s="1">
        <v>44934</v>
      </c>
      <c r="F161" s="1" t="str">
        <f t="shared" si="4"/>
        <v>January</v>
      </c>
      <c r="G161" t="s">
        <v>1</v>
      </c>
      <c r="H161" t="s">
        <v>17</v>
      </c>
      <c r="I161" t="s">
        <v>18</v>
      </c>
      <c r="J161" t="str">
        <f t="shared" si="5"/>
        <v>Error: Should be None</v>
      </c>
      <c r="K161">
        <v>4</v>
      </c>
      <c r="L161" s="2">
        <v>177.5</v>
      </c>
      <c r="M161" t="s">
        <v>4</v>
      </c>
    </row>
    <row r="162" spans="1:13" x14ac:dyDescent="0.35">
      <c r="A162">
        <v>161</v>
      </c>
      <c r="B162">
        <v>56</v>
      </c>
      <c r="C162" t="str">
        <f>IF(Hospital[[#This Row],[Age]]&lt;=12,"Child",
IF(Hospital[[#This Row],[Age]]&lt;=19,"Teen",
IF(Hospital[[#This Row],[Age]]&lt;=35,"Young Adult",
IF(Hospital[[#This Row],[Age]]&lt;=59,"Adult",
"Senior"))))</f>
        <v>Adult</v>
      </c>
      <c r="D162" t="s">
        <v>5</v>
      </c>
      <c r="E162" s="1">
        <v>45436</v>
      </c>
      <c r="F162" s="1" t="str">
        <f t="shared" si="4"/>
        <v>May</v>
      </c>
      <c r="G162" t="s">
        <v>1</v>
      </c>
      <c r="H162" t="s">
        <v>7</v>
      </c>
      <c r="I162" t="s">
        <v>3</v>
      </c>
      <c r="J162" t="str">
        <f t="shared" si="5"/>
        <v>Error: Should be None</v>
      </c>
      <c r="K162">
        <v>6</v>
      </c>
      <c r="L162" s="2">
        <v>275.64</v>
      </c>
      <c r="M162" t="s">
        <v>8</v>
      </c>
    </row>
    <row r="163" spans="1:13" x14ac:dyDescent="0.35">
      <c r="A163">
        <v>162</v>
      </c>
      <c r="B163">
        <v>46</v>
      </c>
      <c r="C163" t="str">
        <f>IF(Hospital[[#This Row],[Age]]&lt;=12,"Child",
IF(Hospital[[#This Row],[Age]]&lt;=19,"Teen",
IF(Hospital[[#This Row],[Age]]&lt;=35,"Young Adult",
IF(Hospital[[#This Row],[Age]]&lt;=59,"Adult",
"Senior"))))</f>
        <v>Adult</v>
      </c>
      <c r="D163" t="s">
        <v>5</v>
      </c>
      <c r="E163" s="1">
        <v>45439</v>
      </c>
      <c r="F163" s="1" t="str">
        <f t="shared" si="4"/>
        <v>May</v>
      </c>
      <c r="G163" t="s">
        <v>6</v>
      </c>
      <c r="H163" t="s">
        <v>9</v>
      </c>
      <c r="I163" t="s">
        <v>3</v>
      </c>
      <c r="J163" t="str">
        <f t="shared" si="5"/>
        <v>Error: Should be None</v>
      </c>
      <c r="K163">
        <v>0</v>
      </c>
      <c r="L163" s="2">
        <v>229.39</v>
      </c>
      <c r="M163" t="s">
        <v>10</v>
      </c>
    </row>
    <row r="164" spans="1:13" x14ac:dyDescent="0.35">
      <c r="A164">
        <v>163</v>
      </c>
      <c r="B164">
        <v>74</v>
      </c>
      <c r="C164" t="str">
        <f>IF(Hospital[[#This Row],[Age]]&lt;=12,"Child",
IF(Hospital[[#This Row],[Age]]&lt;=19,"Teen",
IF(Hospital[[#This Row],[Age]]&lt;=35,"Young Adult",
IF(Hospital[[#This Row],[Age]]&lt;=59,"Adult",
"Senior"))))</f>
        <v>Senior</v>
      </c>
      <c r="D164" t="s">
        <v>0</v>
      </c>
      <c r="E164" s="1">
        <v>45006</v>
      </c>
      <c r="F164" s="1" t="str">
        <f t="shared" si="4"/>
        <v>March</v>
      </c>
      <c r="G164" t="s">
        <v>6</v>
      </c>
      <c r="H164" t="s">
        <v>14</v>
      </c>
      <c r="I164" t="s">
        <v>20</v>
      </c>
      <c r="J164" t="str">
        <f t="shared" si="5"/>
        <v>Error: Should be None</v>
      </c>
      <c r="K164">
        <v>4</v>
      </c>
      <c r="L164" s="2">
        <v>75.28</v>
      </c>
      <c r="M164" t="s">
        <v>4</v>
      </c>
    </row>
    <row r="165" spans="1:13" x14ac:dyDescent="0.35">
      <c r="A165">
        <v>164</v>
      </c>
      <c r="B165">
        <v>80</v>
      </c>
      <c r="C165" t="str">
        <f>IF(Hospital[[#This Row],[Age]]&lt;=12,"Child",
IF(Hospital[[#This Row],[Age]]&lt;=19,"Teen",
IF(Hospital[[#This Row],[Age]]&lt;=35,"Young Adult",
IF(Hospital[[#This Row],[Age]]&lt;=59,"Adult",
"Senior"))))</f>
        <v>Senior</v>
      </c>
      <c r="D165" t="s">
        <v>0</v>
      </c>
      <c r="E165" s="1">
        <v>45259</v>
      </c>
      <c r="F165" s="1" t="str">
        <f t="shared" si="4"/>
        <v>November</v>
      </c>
      <c r="G165" t="s">
        <v>19</v>
      </c>
      <c r="H165" t="s">
        <v>17</v>
      </c>
      <c r="I165" t="s">
        <v>15</v>
      </c>
      <c r="J165" t="str">
        <f t="shared" si="5"/>
        <v>Error: Should be None</v>
      </c>
      <c r="K165">
        <v>6</v>
      </c>
      <c r="L165" s="2">
        <v>425.35</v>
      </c>
      <c r="M165" t="s">
        <v>8</v>
      </c>
    </row>
    <row r="166" spans="1:13" x14ac:dyDescent="0.35">
      <c r="A166">
        <v>165</v>
      </c>
      <c r="B166">
        <v>52</v>
      </c>
      <c r="C166" t="str">
        <f>IF(Hospital[[#This Row],[Age]]&lt;=12,"Child",
IF(Hospital[[#This Row],[Age]]&lt;=19,"Teen",
IF(Hospital[[#This Row],[Age]]&lt;=35,"Young Adult",
IF(Hospital[[#This Row],[Age]]&lt;=59,"Adult",
"Senior"))))</f>
        <v>Adult</v>
      </c>
      <c r="D166" t="s">
        <v>5</v>
      </c>
      <c r="E166" s="1">
        <v>45373</v>
      </c>
      <c r="F166" s="1" t="str">
        <f t="shared" si="4"/>
        <v>March</v>
      </c>
      <c r="G166" t="s">
        <v>6</v>
      </c>
      <c r="H166" t="s">
        <v>9</v>
      </c>
      <c r="I166" t="s">
        <v>3</v>
      </c>
      <c r="J166" t="str">
        <f t="shared" si="5"/>
        <v>Error: Should be None</v>
      </c>
      <c r="K166">
        <v>4</v>
      </c>
      <c r="L166" s="2">
        <v>377.99</v>
      </c>
      <c r="M166" t="s">
        <v>8</v>
      </c>
    </row>
    <row r="167" spans="1:13" x14ac:dyDescent="0.35">
      <c r="A167">
        <v>166</v>
      </c>
      <c r="B167">
        <v>10</v>
      </c>
      <c r="C167" t="str">
        <f>IF(Hospital[[#This Row],[Age]]&lt;=12,"Child",
IF(Hospital[[#This Row],[Age]]&lt;=19,"Teen",
IF(Hospital[[#This Row],[Age]]&lt;=35,"Young Adult",
IF(Hospital[[#This Row],[Age]]&lt;=59,"Adult",
"Senior"))))</f>
        <v>Child</v>
      </c>
      <c r="D167" t="s">
        <v>5</v>
      </c>
      <c r="E167" s="1">
        <v>45268</v>
      </c>
      <c r="F167" s="1" t="str">
        <f t="shared" si="4"/>
        <v>December</v>
      </c>
      <c r="G167" t="s">
        <v>1</v>
      </c>
      <c r="H167" t="s">
        <v>17</v>
      </c>
      <c r="I167" t="s">
        <v>18</v>
      </c>
      <c r="J167" t="str">
        <f t="shared" si="5"/>
        <v>Error: Should be None</v>
      </c>
      <c r="K167">
        <v>5</v>
      </c>
      <c r="L167" s="2">
        <v>369.14</v>
      </c>
      <c r="M167" t="s">
        <v>8</v>
      </c>
    </row>
    <row r="168" spans="1:13" x14ac:dyDescent="0.35">
      <c r="A168">
        <v>167</v>
      </c>
      <c r="B168">
        <v>19</v>
      </c>
      <c r="C168" t="str">
        <f>IF(Hospital[[#This Row],[Age]]&lt;=12,"Child",
IF(Hospital[[#This Row],[Age]]&lt;=19,"Teen",
IF(Hospital[[#This Row],[Age]]&lt;=35,"Young Adult",
IF(Hospital[[#This Row],[Age]]&lt;=59,"Adult",
"Senior"))))</f>
        <v>Teen</v>
      </c>
      <c r="D168" t="s">
        <v>0</v>
      </c>
      <c r="E168" s="1">
        <v>45168</v>
      </c>
      <c r="F168" s="1" t="str">
        <f t="shared" si="4"/>
        <v>August</v>
      </c>
      <c r="G168" t="s">
        <v>1</v>
      </c>
      <c r="H168" t="s">
        <v>2</v>
      </c>
      <c r="I168" t="s">
        <v>3</v>
      </c>
      <c r="J168" t="str">
        <f t="shared" si="5"/>
        <v>Error: Should be None</v>
      </c>
      <c r="K168">
        <v>2</v>
      </c>
      <c r="L168" s="2">
        <v>309.14999999999998</v>
      </c>
      <c r="M168" t="s">
        <v>4</v>
      </c>
    </row>
    <row r="169" spans="1:13" x14ac:dyDescent="0.35">
      <c r="A169">
        <v>168</v>
      </c>
      <c r="B169">
        <v>64</v>
      </c>
      <c r="C169" t="str">
        <f>IF(Hospital[[#This Row],[Age]]&lt;=12,"Child",
IF(Hospital[[#This Row],[Age]]&lt;=19,"Teen",
IF(Hospital[[#This Row],[Age]]&lt;=35,"Young Adult",
IF(Hospital[[#This Row],[Age]]&lt;=59,"Adult",
"Senior"))))</f>
        <v>Senior</v>
      </c>
      <c r="D169" t="s">
        <v>0</v>
      </c>
      <c r="E169" s="1">
        <v>45108</v>
      </c>
      <c r="F169" s="1" t="str">
        <f t="shared" si="4"/>
        <v>July</v>
      </c>
      <c r="G169" t="s">
        <v>6</v>
      </c>
      <c r="H169" t="s">
        <v>7</v>
      </c>
      <c r="I169" t="s">
        <v>3</v>
      </c>
      <c r="J169" t="str">
        <f t="shared" si="5"/>
        <v>Error: Should be None</v>
      </c>
      <c r="K169">
        <v>10</v>
      </c>
      <c r="L169" s="2">
        <v>463.59</v>
      </c>
      <c r="M169" t="s">
        <v>16</v>
      </c>
    </row>
    <row r="170" spans="1:13" x14ac:dyDescent="0.35">
      <c r="A170">
        <v>169</v>
      </c>
      <c r="B170">
        <v>20</v>
      </c>
      <c r="C17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70" t="s">
        <v>0</v>
      </c>
      <c r="E170" s="1">
        <v>45569</v>
      </c>
      <c r="F170" s="1" t="str">
        <f t="shared" si="4"/>
        <v>October</v>
      </c>
      <c r="G170" t="s">
        <v>11</v>
      </c>
      <c r="H170" t="s">
        <v>14</v>
      </c>
      <c r="I170" t="s">
        <v>20</v>
      </c>
      <c r="J170" t="str">
        <f t="shared" si="5"/>
        <v>Error: Should be None</v>
      </c>
      <c r="K170">
        <v>7</v>
      </c>
      <c r="L170" s="2">
        <v>323.06</v>
      </c>
      <c r="M170" t="s">
        <v>16</v>
      </c>
    </row>
    <row r="171" spans="1:13" x14ac:dyDescent="0.35">
      <c r="A171">
        <v>170</v>
      </c>
      <c r="B171">
        <v>46</v>
      </c>
      <c r="C171" t="str">
        <f>IF(Hospital[[#This Row],[Age]]&lt;=12,"Child",
IF(Hospital[[#This Row],[Age]]&lt;=19,"Teen",
IF(Hospital[[#This Row],[Age]]&lt;=35,"Young Adult",
IF(Hospital[[#This Row],[Age]]&lt;=59,"Adult",
"Senior"))))</f>
        <v>Adult</v>
      </c>
      <c r="D171" t="s">
        <v>5</v>
      </c>
      <c r="E171" s="1">
        <v>45532</v>
      </c>
      <c r="F171" s="1" t="str">
        <f t="shared" si="4"/>
        <v>August</v>
      </c>
      <c r="G171" t="s">
        <v>19</v>
      </c>
      <c r="H171" t="s">
        <v>2</v>
      </c>
      <c r="I171" t="s">
        <v>3</v>
      </c>
      <c r="J171" t="str">
        <f t="shared" si="5"/>
        <v>Error: Should be None</v>
      </c>
      <c r="K171">
        <v>7</v>
      </c>
      <c r="L171" s="2">
        <v>236.92</v>
      </c>
      <c r="M171" t="s">
        <v>4</v>
      </c>
    </row>
    <row r="172" spans="1:13" x14ac:dyDescent="0.35">
      <c r="A172">
        <v>171</v>
      </c>
      <c r="B172">
        <v>10</v>
      </c>
      <c r="C172" t="str">
        <f>IF(Hospital[[#This Row],[Age]]&lt;=12,"Child",
IF(Hospital[[#This Row],[Age]]&lt;=19,"Teen",
IF(Hospital[[#This Row],[Age]]&lt;=35,"Young Adult",
IF(Hospital[[#This Row],[Age]]&lt;=59,"Adult",
"Senior"))))</f>
        <v>Child</v>
      </c>
      <c r="D172" t="s">
        <v>5</v>
      </c>
      <c r="E172" s="1">
        <v>45304</v>
      </c>
      <c r="F172" s="1" t="str">
        <f t="shared" si="4"/>
        <v>January</v>
      </c>
      <c r="G172" t="s">
        <v>6</v>
      </c>
      <c r="H172" t="s">
        <v>14</v>
      </c>
      <c r="I172" t="s">
        <v>20</v>
      </c>
      <c r="J172" t="str">
        <f t="shared" si="5"/>
        <v>Error: Should be None</v>
      </c>
      <c r="K172">
        <v>9</v>
      </c>
      <c r="L172" s="2">
        <v>286.07</v>
      </c>
      <c r="M172" t="s">
        <v>4</v>
      </c>
    </row>
    <row r="173" spans="1:13" x14ac:dyDescent="0.35">
      <c r="A173">
        <v>172</v>
      </c>
      <c r="B173">
        <v>84</v>
      </c>
      <c r="C173" t="str">
        <f>IF(Hospital[[#This Row],[Age]]&lt;=12,"Child",
IF(Hospital[[#This Row],[Age]]&lt;=19,"Teen",
IF(Hospital[[#This Row],[Age]]&lt;=35,"Young Adult",
IF(Hospital[[#This Row],[Age]]&lt;=59,"Adult",
"Senior"))))</f>
        <v>Senior</v>
      </c>
      <c r="D173" t="s">
        <v>5</v>
      </c>
      <c r="E173" s="1">
        <v>45387</v>
      </c>
      <c r="F173" s="1" t="str">
        <f t="shared" si="4"/>
        <v>April</v>
      </c>
      <c r="G173" t="s">
        <v>19</v>
      </c>
      <c r="H173" t="s">
        <v>9</v>
      </c>
      <c r="I173" t="s">
        <v>3</v>
      </c>
      <c r="J173" t="str">
        <f t="shared" si="5"/>
        <v>Error: Should be None</v>
      </c>
      <c r="K173">
        <v>9</v>
      </c>
      <c r="L173" s="2">
        <v>248.3</v>
      </c>
      <c r="M173" t="s">
        <v>8</v>
      </c>
    </row>
    <row r="174" spans="1:13" x14ac:dyDescent="0.35">
      <c r="A174">
        <v>173</v>
      </c>
      <c r="B174">
        <v>14</v>
      </c>
      <c r="C174" t="str">
        <f>IF(Hospital[[#This Row],[Age]]&lt;=12,"Child",
IF(Hospital[[#This Row],[Age]]&lt;=19,"Teen",
IF(Hospital[[#This Row],[Age]]&lt;=35,"Young Adult",
IF(Hospital[[#This Row],[Age]]&lt;=59,"Adult",
"Senior"))))</f>
        <v>Teen</v>
      </c>
      <c r="D174" t="s">
        <v>0</v>
      </c>
      <c r="E174" s="1">
        <v>44990</v>
      </c>
      <c r="F174" s="1" t="str">
        <f t="shared" si="4"/>
        <v>March</v>
      </c>
      <c r="G174" t="s">
        <v>11</v>
      </c>
      <c r="H174" t="s">
        <v>12</v>
      </c>
      <c r="I174" t="s">
        <v>3</v>
      </c>
      <c r="J174" t="str">
        <f t="shared" si="5"/>
        <v>Error: Should be None</v>
      </c>
      <c r="K174">
        <v>10</v>
      </c>
      <c r="L174" s="2">
        <v>102.83</v>
      </c>
      <c r="M174" t="s">
        <v>8</v>
      </c>
    </row>
    <row r="175" spans="1:13" x14ac:dyDescent="0.35">
      <c r="A175">
        <v>174</v>
      </c>
      <c r="B175">
        <v>57</v>
      </c>
      <c r="C175" t="str">
        <f>IF(Hospital[[#This Row],[Age]]&lt;=12,"Child",
IF(Hospital[[#This Row],[Age]]&lt;=19,"Teen",
IF(Hospital[[#This Row],[Age]]&lt;=35,"Young Adult",
IF(Hospital[[#This Row],[Age]]&lt;=59,"Adult",
"Senior"))))</f>
        <v>Adult</v>
      </c>
      <c r="D175" t="s">
        <v>5</v>
      </c>
      <c r="E175" s="1">
        <v>45651</v>
      </c>
      <c r="F175" s="1" t="str">
        <f t="shared" si="4"/>
        <v>December</v>
      </c>
      <c r="G175" t="s">
        <v>19</v>
      </c>
      <c r="H175" t="s">
        <v>12</v>
      </c>
      <c r="I175" t="s">
        <v>18</v>
      </c>
      <c r="J175" t="str">
        <f t="shared" si="5"/>
        <v>Error: Should be None</v>
      </c>
      <c r="K175">
        <v>4</v>
      </c>
      <c r="L175" s="2">
        <v>205.96</v>
      </c>
      <c r="M175" t="s">
        <v>16</v>
      </c>
    </row>
    <row r="176" spans="1:13" x14ac:dyDescent="0.35">
      <c r="A176">
        <v>175</v>
      </c>
      <c r="B176">
        <v>7</v>
      </c>
      <c r="C176" t="str">
        <f>IF(Hospital[[#This Row],[Age]]&lt;=12,"Child",
IF(Hospital[[#This Row],[Age]]&lt;=19,"Teen",
IF(Hospital[[#This Row],[Age]]&lt;=35,"Young Adult",
IF(Hospital[[#This Row],[Age]]&lt;=59,"Adult",
"Senior"))))</f>
        <v>Child</v>
      </c>
      <c r="D176" t="s">
        <v>0</v>
      </c>
      <c r="E176" s="1">
        <v>45622</v>
      </c>
      <c r="F176" s="1" t="str">
        <f t="shared" si="4"/>
        <v>November</v>
      </c>
      <c r="G176" t="s">
        <v>11</v>
      </c>
      <c r="H176" t="s">
        <v>9</v>
      </c>
      <c r="I176" t="s">
        <v>3</v>
      </c>
      <c r="J176" t="str">
        <f t="shared" si="5"/>
        <v>Error: Should be None</v>
      </c>
      <c r="K176">
        <v>5</v>
      </c>
      <c r="L176" s="2">
        <v>65.36</v>
      </c>
      <c r="M176" t="s">
        <v>10</v>
      </c>
    </row>
    <row r="177" spans="1:13" x14ac:dyDescent="0.35">
      <c r="A177">
        <v>176</v>
      </c>
      <c r="B177">
        <v>85</v>
      </c>
      <c r="C177" t="str">
        <f>IF(Hospital[[#This Row],[Age]]&lt;=12,"Child",
IF(Hospital[[#This Row],[Age]]&lt;=19,"Teen",
IF(Hospital[[#This Row],[Age]]&lt;=35,"Young Adult",
IF(Hospital[[#This Row],[Age]]&lt;=59,"Adult",
"Senior"))))</f>
        <v>Senior</v>
      </c>
      <c r="D177" t="s">
        <v>5</v>
      </c>
      <c r="E177" s="1">
        <v>45217</v>
      </c>
      <c r="F177" s="1" t="str">
        <f t="shared" si="4"/>
        <v>October</v>
      </c>
      <c r="G177" t="s">
        <v>19</v>
      </c>
      <c r="H177" t="s">
        <v>14</v>
      </c>
      <c r="I177" t="s">
        <v>15</v>
      </c>
      <c r="J177" t="str">
        <f t="shared" si="5"/>
        <v>Error: Should be None</v>
      </c>
      <c r="K177">
        <v>9</v>
      </c>
      <c r="L177" s="2">
        <v>338.53</v>
      </c>
      <c r="M177" t="s">
        <v>16</v>
      </c>
    </row>
    <row r="178" spans="1:13" x14ac:dyDescent="0.35">
      <c r="A178">
        <v>177</v>
      </c>
      <c r="B178">
        <v>85</v>
      </c>
      <c r="C178" t="str">
        <f>IF(Hospital[[#This Row],[Age]]&lt;=12,"Child",
IF(Hospital[[#This Row],[Age]]&lt;=19,"Teen",
IF(Hospital[[#This Row],[Age]]&lt;=35,"Young Adult",
IF(Hospital[[#This Row],[Age]]&lt;=59,"Adult",
"Senior"))))</f>
        <v>Senior</v>
      </c>
      <c r="D178" t="s">
        <v>0</v>
      </c>
      <c r="E178" s="1">
        <v>45244</v>
      </c>
      <c r="F178" s="1" t="str">
        <f t="shared" si="4"/>
        <v>November</v>
      </c>
      <c r="G178" t="s">
        <v>1</v>
      </c>
      <c r="H178" t="s">
        <v>7</v>
      </c>
      <c r="I178" t="s">
        <v>3</v>
      </c>
      <c r="J178" t="str">
        <f t="shared" si="5"/>
        <v>Error: Should be None</v>
      </c>
      <c r="K178">
        <v>9</v>
      </c>
      <c r="L178" s="2">
        <v>360.24</v>
      </c>
      <c r="M178" t="s">
        <v>4</v>
      </c>
    </row>
    <row r="179" spans="1:13" x14ac:dyDescent="0.35">
      <c r="A179">
        <v>178</v>
      </c>
      <c r="B179">
        <v>49</v>
      </c>
      <c r="C179" t="str">
        <f>IF(Hospital[[#This Row],[Age]]&lt;=12,"Child",
IF(Hospital[[#This Row],[Age]]&lt;=19,"Teen",
IF(Hospital[[#This Row],[Age]]&lt;=35,"Young Adult",
IF(Hospital[[#This Row],[Age]]&lt;=59,"Adult",
"Senior"))))</f>
        <v>Adult</v>
      </c>
      <c r="D179" t="s">
        <v>0</v>
      </c>
      <c r="E179" s="1">
        <v>45244</v>
      </c>
      <c r="F179" s="1" t="str">
        <f t="shared" si="4"/>
        <v>November</v>
      </c>
      <c r="G179" t="s">
        <v>1</v>
      </c>
      <c r="H179" t="s">
        <v>9</v>
      </c>
      <c r="I179" t="s">
        <v>3</v>
      </c>
      <c r="J179" t="str">
        <f t="shared" si="5"/>
        <v>Error: Should be None</v>
      </c>
      <c r="K179">
        <v>10</v>
      </c>
      <c r="L179" s="2">
        <v>357.36</v>
      </c>
      <c r="M179" t="s">
        <v>4</v>
      </c>
    </row>
    <row r="180" spans="1:13" x14ac:dyDescent="0.35">
      <c r="A180">
        <v>179</v>
      </c>
      <c r="B180">
        <v>55</v>
      </c>
      <c r="C180" t="str">
        <f>IF(Hospital[[#This Row],[Age]]&lt;=12,"Child",
IF(Hospital[[#This Row],[Age]]&lt;=19,"Teen",
IF(Hospital[[#This Row],[Age]]&lt;=35,"Young Adult",
IF(Hospital[[#This Row],[Age]]&lt;=59,"Adult",
"Senior"))))</f>
        <v>Adult</v>
      </c>
      <c r="D180" t="s">
        <v>0</v>
      </c>
      <c r="E180" s="1">
        <v>45588</v>
      </c>
      <c r="F180" s="1" t="str">
        <f t="shared" si="4"/>
        <v>October</v>
      </c>
      <c r="G180" t="s">
        <v>11</v>
      </c>
      <c r="H180" t="s">
        <v>7</v>
      </c>
      <c r="I180" t="s">
        <v>3</v>
      </c>
      <c r="J180" t="str">
        <f t="shared" si="5"/>
        <v>Error: Should be None</v>
      </c>
      <c r="K180">
        <v>5</v>
      </c>
      <c r="L180" s="2">
        <v>168.26</v>
      </c>
      <c r="M180" t="s">
        <v>8</v>
      </c>
    </row>
    <row r="181" spans="1:13" x14ac:dyDescent="0.35">
      <c r="A181">
        <v>180</v>
      </c>
      <c r="B181">
        <v>25</v>
      </c>
      <c r="C18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81" t="s">
        <v>5</v>
      </c>
      <c r="E181" s="1">
        <v>45276</v>
      </c>
      <c r="F181" s="1" t="str">
        <f t="shared" si="4"/>
        <v>December</v>
      </c>
      <c r="G181" t="s">
        <v>1</v>
      </c>
      <c r="H181" t="s">
        <v>12</v>
      </c>
      <c r="I181" t="s">
        <v>13</v>
      </c>
      <c r="J181" t="str">
        <f t="shared" si="5"/>
        <v>Error: Should be None</v>
      </c>
      <c r="K181">
        <v>1</v>
      </c>
      <c r="L181" s="2">
        <v>161.97999999999999</v>
      </c>
      <c r="M181" t="s">
        <v>4</v>
      </c>
    </row>
    <row r="182" spans="1:13" x14ac:dyDescent="0.35">
      <c r="A182">
        <v>181</v>
      </c>
      <c r="B182">
        <v>68</v>
      </c>
      <c r="C182" t="str">
        <f>IF(Hospital[[#This Row],[Age]]&lt;=12,"Child",
IF(Hospital[[#This Row],[Age]]&lt;=19,"Teen",
IF(Hospital[[#This Row],[Age]]&lt;=35,"Young Adult",
IF(Hospital[[#This Row],[Age]]&lt;=59,"Adult",
"Senior"))))</f>
        <v>Senior</v>
      </c>
      <c r="D182" t="s">
        <v>5</v>
      </c>
      <c r="E182" s="1">
        <v>45446</v>
      </c>
      <c r="F182" s="1" t="str">
        <f t="shared" si="4"/>
        <v>June</v>
      </c>
      <c r="G182" t="s">
        <v>19</v>
      </c>
      <c r="H182" t="s">
        <v>9</v>
      </c>
      <c r="I182" t="s">
        <v>3</v>
      </c>
      <c r="J182" t="str">
        <f t="shared" si="5"/>
        <v>Error: Should be None</v>
      </c>
      <c r="K182">
        <v>9</v>
      </c>
      <c r="L182" s="2">
        <v>82.9</v>
      </c>
      <c r="M182" t="s">
        <v>10</v>
      </c>
    </row>
    <row r="183" spans="1:13" x14ac:dyDescent="0.35">
      <c r="A183">
        <v>182</v>
      </c>
      <c r="B183">
        <v>24</v>
      </c>
      <c r="C18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83" t="s">
        <v>5</v>
      </c>
      <c r="E183" s="1">
        <v>45084</v>
      </c>
      <c r="F183" s="1" t="str">
        <f t="shared" si="4"/>
        <v>June</v>
      </c>
      <c r="G183" t="s">
        <v>6</v>
      </c>
      <c r="H183" t="s">
        <v>17</v>
      </c>
      <c r="I183" t="s">
        <v>15</v>
      </c>
      <c r="J183" t="str">
        <f t="shared" si="5"/>
        <v>Error: Should be None</v>
      </c>
      <c r="K183">
        <v>6</v>
      </c>
      <c r="L183" s="2">
        <v>194.86</v>
      </c>
      <c r="M183" t="s">
        <v>8</v>
      </c>
    </row>
    <row r="184" spans="1:13" x14ac:dyDescent="0.35">
      <c r="A184">
        <v>183</v>
      </c>
      <c r="B184">
        <v>37</v>
      </c>
      <c r="C184" t="str">
        <f>IF(Hospital[[#This Row],[Age]]&lt;=12,"Child",
IF(Hospital[[#This Row],[Age]]&lt;=19,"Teen",
IF(Hospital[[#This Row],[Age]]&lt;=35,"Young Adult",
IF(Hospital[[#This Row],[Age]]&lt;=59,"Adult",
"Senior"))))</f>
        <v>Adult</v>
      </c>
      <c r="D184" t="s">
        <v>0</v>
      </c>
      <c r="E184" s="1">
        <v>45381</v>
      </c>
      <c r="F184" s="1" t="str">
        <f t="shared" si="4"/>
        <v>March</v>
      </c>
      <c r="G184" t="s">
        <v>1</v>
      </c>
      <c r="H184" t="s">
        <v>9</v>
      </c>
      <c r="I184" t="s">
        <v>3</v>
      </c>
      <c r="J184" t="str">
        <f t="shared" si="5"/>
        <v>Error: Should be None</v>
      </c>
      <c r="K184">
        <v>8</v>
      </c>
      <c r="L184" s="2">
        <v>134.80000000000001</v>
      </c>
      <c r="M184" t="s">
        <v>10</v>
      </c>
    </row>
    <row r="185" spans="1:13" x14ac:dyDescent="0.35">
      <c r="A185">
        <v>184</v>
      </c>
      <c r="B185">
        <v>74</v>
      </c>
      <c r="C185" t="str">
        <f>IF(Hospital[[#This Row],[Age]]&lt;=12,"Child",
IF(Hospital[[#This Row],[Age]]&lt;=19,"Teen",
IF(Hospital[[#This Row],[Age]]&lt;=35,"Young Adult",
IF(Hospital[[#This Row],[Age]]&lt;=59,"Adult",
"Senior"))))</f>
        <v>Senior</v>
      </c>
      <c r="D185" t="s">
        <v>0</v>
      </c>
      <c r="E185" s="1">
        <v>45125</v>
      </c>
      <c r="F185" s="1" t="str">
        <f t="shared" si="4"/>
        <v>July</v>
      </c>
      <c r="G185" t="s">
        <v>6</v>
      </c>
      <c r="H185" t="s">
        <v>14</v>
      </c>
      <c r="I185" t="s">
        <v>18</v>
      </c>
      <c r="J185" t="str">
        <f t="shared" si="5"/>
        <v>Error: Should be None</v>
      </c>
      <c r="K185">
        <v>6</v>
      </c>
      <c r="L185" s="2">
        <v>261.39999999999998</v>
      </c>
      <c r="M185" t="s">
        <v>10</v>
      </c>
    </row>
    <row r="186" spans="1:13" x14ac:dyDescent="0.35">
      <c r="A186">
        <v>185</v>
      </c>
      <c r="B186">
        <v>78</v>
      </c>
      <c r="C186" t="str">
        <f>IF(Hospital[[#This Row],[Age]]&lt;=12,"Child",
IF(Hospital[[#This Row],[Age]]&lt;=19,"Teen",
IF(Hospital[[#This Row],[Age]]&lt;=35,"Young Adult",
IF(Hospital[[#This Row],[Age]]&lt;=59,"Adult",
"Senior"))))</f>
        <v>Senior</v>
      </c>
      <c r="D186" t="s">
        <v>5</v>
      </c>
      <c r="E186" s="1">
        <v>45092</v>
      </c>
      <c r="F186" s="1" t="str">
        <f t="shared" si="4"/>
        <v>June</v>
      </c>
      <c r="G186" t="s">
        <v>19</v>
      </c>
      <c r="H186" t="s">
        <v>17</v>
      </c>
      <c r="I186" t="s">
        <v>15</v>
      </c>
      <c r="J186" t="str">
        <f t="shared" si="5"/>
        <v>Error: Should be None</v>
      </c>
      <c r="K186">
        <v>10</v>
      </c>
      <c r="L186" s="2">
        <v>250.68</v>
      </c>
      <c r="M186" t="s">
        <v>16</v>
      </c>
    </row>
    <row r="187" spans="1:13" x14ac:dyDescent="0.35">
      <c r="A187">
        <v>186</v>
      </c>
      <c r="B187">
        <v>67</v>
      </c>
      <c r="C187" t="str">
        <f>IF(Hospital[[#This Row],[Age]]&lt;=12,"Child",
IF(Hospital[[#This Row],[Age]]&lt;=19,"Teen",
IF(Hospital[[#This Row],[Age]]&lt;=35,"Young Adult",
IF(Hospital[[#This Row],[Age]]&lt;=59,"Adult",
"Senior"))))</f>
        <v>Senior</v>
      </c>
      <c r="D187" t="s">
        <v>5</v>
      </c>
      <c r="E187" s="1">
        <v>45494</v>
      </c>
      <c r="F187" s="1" t="str">
        <f t="shared" si="4"/>
        <v>July</v>
      </c>
      <c r="G187" t="s">
        <v>19</v>
      </c>
      <c r="H187" t="s">
        <v>2</v>
      </c>
      <c r="I187" t="s">
        <v>3</v>
      </c>
      <c r="J187" t="str">
        <f t="shared" si="5"/>
        <v>Error: Should be None</v>
      </c>
      <c r="K187">
        <v>1</v>
      </c>
      <c r="L187" s="2">
        <v>386.3</v>
      </c>
      <c r="M187" t="s">
        <v>16</v>
      </c>
    </row>
    <row r="188" spans="1:13" x14ac:dyDescent="0.35">
      <c r="A188">
        <v>187</v>
      </c>
      <c r="B188">
        <v>19</v>
      </c>
      <c r="C188" t="str">
        <f>IF(Hospital[[#This Row],[Age]]&lt;=12,"Child",
IF(Hospital[[#This Row],[Age]]&lt;=19,"Teen",
IF(Hospital[[#This Row],[Age]]&lt;=35,"Young Adult",
IF(Hospital[[#This Row],[Age]]&lt;=59,"Adult",
"Senior"))))</f>
        <v>Teen</v>
      </c>
      <c r="D188" t="s">
        <v>0</v>
      </c>
      <c r="E188" s="1">
        <v>45387</v>
      </c>
      <c r="F188" s="1" t="str">
        <f t="shared" si="4"/>
        <v>April</v>
      </c>
      <c r="G188" t="s">
        <v>11</v>
      </c>
      <c r="H188" t="s">
        <v>9</v>
      </c>
      <c r="I188" t="s">
        <v>3</v>
      </c>
      <c r="J188" t="str">
        <f t="shared" si="5"/>
        <v>Error: Should be None</v>
      </c>
      <c r="K188">
        <v>3</v>
      </c>
      <c r="L188" s="2">
        <v>412.02</v>
      </c>
      <c r="M188" t="s">
        <v>16</v>
      </c>
    </row>
    <row r="189" spans="1:13" x14ac:dyDescent="0.35">
      <c r="A189">
        <v>188</v>
      </c>
      <c r="B189">
        <v>7</v>
      </c>
      <c r="C189" t="str">
        <f>IF(Hospital[[#This Row],[Age]]&lt;=12,"Child",
IF(Hospital[[#This Row],[Age]]&lt;=19,"Teen",
IF(Hospital[[#This Row],[Age]]&lt;=35,"Young Adult",
IF(Hospital[[#This Row],[Age]]&lt;=59,"Adult",
"Senior"))))</f>
        <v>Child</v>
      </c>
      <c r="D189" t="s">
        <v>0</v>
      </c>
      <c r="E189" s="1">
        <v>44954</v>
      </c>
      <c r="F189" s="1" t="str">
        <f t="shared" si="4"/>
        <v>January</v>
      </c>
      <c r="G189" t="s">
        <v>19</v>
      </c>
      <c r="H189" t="s">
        <v>12</v>
      </c>
      <c r="I189" t="s">
        <v>13</v>
      </c>
      <c r="J189" t="str">
        <f t="shared" si="5"/>
        <v>Error: Should be None</v>
      </c>
      <c r="K189">
        <v>6</v>
      </c>
      <c r="L189" s="2">
        <v>497.37</v>
      </c>
      <c r="M189" t="s">
        <v>16</v>
      </c>
    </row>
    <row r="190" spans="1:13" x14ac:dyDescent="0.35">
      <c r="A190">
        <v>189</v>
      </c>
      <c r="B190">
        <v>41</v>
      </c>
      <c r="C190" t="str">
        <f>IF(Hospital[[#This Row],[Age]]&lt;=12,"Child",
IF(Hospital[[#This Row],[Age]]&lt;=19,"Teen",
IF(Hospital[[#This Row],[Age]]&lt;=35,"Young Adult",
IF(Hospital[[#This Row],[Age]]&lt;=59,"Adult",
"Senior"))))</f>
        <v>Adult</v>
      </c>
      <c r="D190" t="s">
        <v>5</v>
      </c>
      <c r="E190" s="1">
        <v>45156</v>
      </c>
      <c r="F190" s="1" t="str">
        <f t="shared" si="4"/>
        <v>August</v>
      </c>
      <c r="G190" t="s">
        <v>19</v>
      </c>
      <c r="H190" t="s">
        <v>2</v>
      </c>
      <c r="I190" t="s">
        <v>3</v>
      </c>
      <c r="J190" t="str">
        <f t="shared" si="5"/>
        <v>Error: Should be None</v>
      </c>
      <c r="K190">
        <v>2</v>
      </c>
      <c r="L190" s="2">
        <v>86.05</v>
      </c>
      <c r="M190" t="s">
        <v>16</v>
      </c>
    </row>
    <row r="191" spans="1:13" x14ac:dyDescent="0.35">
      <c r="A191">
        <v>190</v>
      </c>
      <c r="B191">
        <v>18</v>
      </c>
      <c r="C191" t="str">
        <f>IF(Hospital[[#This Row],[Age]]&lt;=12,"Child",
IF(Hospital[[#This Row],[Age]]&lt;=19,"Teen",
IF(Hospital[[#This Row],[Age]]&lt;=35,"Young Adult",
IF(Hospital[[#This Row],[Age]]&lt;=59,"Adult",
"Senior"))))</f>
        <v>Teen</v>
      </c>
      <c r="D191" t="s">
        <v>0</v>
      </c>
      <c r="E191" s="1">
        <v>45410</v>
      </c>
      <c r="F191" s="1" t="str">
        <f t="shared" si="4"/>
        <v>April</v>
      </c>
      <c r="G191" t="s">
        <v>6</v>
      </c>
      <c r="H191" t="s">
        <v>7</v>
      </c>
      <c r="I191" t="s">
        <v>3</v>
      </c>
      <c r="J191" t="str">
        <f t="shared" si="5"/>
        <v>Error: Should be None</v>
      </c>
      <c r="K191">
        <v>9</v>
      </c>
      <c r="L191" s="2">
        <v>22.52</v>
      </c>
      <c r="M191" t="s">
        <v>4</v>
      </c>
    </row>
    <row r="192" spans="1:13" x14ac:dyDescent="0.35">
      <c r="A192">
        <v>191</v>
      </c>
      <c r="B192">
        <v>28</v>
      </c>
      <c r="C19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192" t="s">
        <v>5</v>
      </c>
      <c r="E192" s="1">
        <v>44946</v>
      </c>
      <c r="F192" s="1" t="str">
        <f t="shared" si="4"/>
        <v>January</v>
      </c>
      <c r="G192" t="s">
        <v>6</v>
      </c>
      <c r="H192" t="s">
        <v>14</v>
      </c>
      <c r="I192" t="s">
        <v>15</v>
      </c>
      <c r="J192" t="str">
        <f t="shared" si="5"/>
        <v>Error: Should be None</v>
      </c>
      <c r="K192">
        <v>4</v>
      </c>
      <c r="L192" s="2">
        <v>134.07</v>
      </c>
      <c r="M192" t="s">
        <v>4</v>
      </c>
    </row>
    <row r="193" spans="1:13" x14ac:dyDescent="0.35">
      <c r="A193">
        <v>192</v>
      </c>
      <c r="B193">
        <v>54</v>
      </c>
      <c r="C193" t="str">
        <f>IF(Hospital[[#This Row],[Age]]&lt;=12,"Child",
IF(Hospital[[#This Row],[Age]]&lt;=19,"Teen",
IF(Hospital[[#This Row],[Age]]&lt;=35,"Young Adult",
IF(Hospital[[#This Row],[Age]]&lt;=59,"Adult",
"Senior"))))</f>
        <v>Adult</v>
      </c>
      <c r="D193" t="s">
        <v>0</v>
      </c>
      <c r="E193" s="1">
        <v>44975</v>
      </c>
      <c r="F193" s="1" t="str">
        <f t="shared" si="4"/>
        <v>February</v>
      </c>
      <c r="G193" t="s">
        <v>11</v>
      </c>
      <c r="H193" t="s">
        <v>17</v>
      </c>
      <c r="I193" t="s">
        <v>15</v>
      </c>
      <c r="J193" t="str">
        <f t="shared" si="5"/>
        <v>Error: Should be None</v>
      </c>
      <c r="K193">
        <v>7</v>
      </c>
      <c r="L193" s="2">
        <v>306.43</v>
      </c>
      <c r="M193" t="s">
        <v>4</v>
      </c>
    </row>
    <row r="194" spans="1:13" x14ac:dyDescent="0.35">
      <c r="A194">
        <v>193</v>
      </c>
      <c r="B194">
        <v>74</v>
      </c>
      <c r="C194" t="str">
        <f>IF(Hospital[[#This Row],[Age]]&lt;=12,"Child",
IF(Hospital[[#This Row],[Age]]&lt;=19,"Teen",
IF(Hospital[[#This Row],[Age]]&lt;=35,"Young Adult",
IF(Hospital[[#This Row],[Age]]&lt;=59,"Adult",
"Senior"))))</f>
        <v>Senior</v>
      </c>
      <c r="D194" t="s">
        <v>5</v>
      </c>
      <c r="E194" s="1">
        <v>45574</v>
      </c>
      <c r="F194" s="1" t="str">
        <f t="shared" si="4"/>
        <v>October</v>
      </c>
      <c r="G194" t="s">
        <v>1</v>
      </c>
      <c r="H194" t="s">
        <v>9</v>
      </c>
      <c r="I194" t="s">
        <v>3</v>
      </c>
      <c r="J194" t="str">
        <f t="shared" si="5"/>
        <v>Error: Should be None</v>
      </c>
      <c r="K194">
        <v>4</v>
      </c>
      <c r="L194" s="2">
        <v>226.03</v>
      </c>
      <c r="M194" t="s">
        <v>16</v>
      </c>
    </row>
    <row r="195" spans="1:13" x14ac:dyDescent="0.35">
      <c r="A195">
        <v>194</v>
      </c>
      <c r="B195">
        <v>54</v>
      </c>
      <c r="C195" t="str">
        <f>IF(Hospital[[#This Row],[Age]]&lt;=12,"Child",
IF(Hospital[[#This Row],[Age]]&lt;=19,"Teen",
IF(Hospital[[#This Row],[Age]]&lt;=35,"Young Adult",
IF(Hospital[[#This Row],[Age]]&lt;=59,"Adult",
"Senior"))))</f>
        <v>Adult</v>
      </c>
      <c r="D195" t="s">
        <v>5</v>
      </c>
      <c r="E195" s="1">
        <v>45173</v>
      </c>
      <c r="F195" s="1" t="str">
        <f t="shared" ref="F195:F258" si="6">TEXT(E195, "mmmm")</f>
        <v>September</v>
      </c>
      <c r="G195" t="s">
        <v>11</v>
      </c>
      <c r="H195" t="s">
        <v>9</v>
      </c>
      <c r="I195" t="s">
        <v>3</v>
      </c>
      <c r="J195" t="str">
        <f t="shared" ref="J195:J258" si="7">IF(OR(G195="UTI", G195="Pneumonia", G195="Typhoid"),
   IF(H195="None","Error: Should have antibiotics","OK"),
   IF(H195&lt;&gt;"None","Error: Should be None","OK"))</f>
        <v>Error: Should be None</v>
      </c>
      <c r="K195">
        <v>8</v>
      </c>
      <c r="L195" s="2">
        <v>487.83</v>
      </c>
      <c r="M195" t="s">
        <v>4</v>
      </c>
    </row>
    <row r="196" spans="1:13" x14ac:dyDescent="0.35">
      <c r="A196">
        <v>195</v>
      </c>
      <c r="B196">
        <v>65</v>
      </c>
      <c r="C196" t="str">
        <f>IF(Hospital[[#This Row],[Age]]&lt;=12,"Child",
IF(Hospital[[#This Row],[Age]]&lt;=19,"Teen",
IF(Hospital[[#This Row],[Age]]&lt;=35,"Young Adult",
IF(Hospital[[#This Row],[Age]]&lt;=59,"Adult",
"Senior"))))</f>
        <v>Senior</v>
      </c>
      <c r="D196" t="s">
        <v>5</v>
      </c>
      <c r="E196" s="1">
        <v>45465</v>
      </c>
      <c r="F196" s="1" t="str">
        <f t="shared" si="6"/>
        <v>June</v>
      </c>
      <c r="G196" t="s">
        <v>6</v>
      </c>
      <c r="H196" t="s">
        <v>9</v>
      </c>
      <c r="I196" t="s">
        <v>3</v>
      </c>
      <c r="J196" t="str">
        <f t="shared" si="7"/>
        <v>Error: Should be None</v>
      </c>
      <c r="K196">
        <v>7</v>
      </c>
      <c r="L196" s="2">
        <v>40.9</v>
      </c>
      <c r="M196" t="s">
        <v>10</v>
      </c>
    </row>
    <row r="197" spans="1:13" x14ac:dyDescent="0.35">
      <c r="A197">
        <v>196</v>
      </c>
      <c r="B197">
        <v>3</v>
      </c>
      <c r="C197" t="str">
        <f>IF(Hospital[[#This Row],[Age]]&lt;=12,"Child",
IF(Hospital[[#This Row],[Age]]&lt;=19,"Teen",
IF(Hospital[[#This Row],[Age]]&lt;=35,"Young Adult",
IF(Hospital[[#This Row],[Age]]&lt;=59,"Adult",
"Senior"))))</f>
        <v>Child</v>
      </c>
      <c r="D197" t="s">
        <v>0</v>
      </c>
      <c r="E197" s="1">
        <v>45309</v>
      </c>
      <c r="F197" s="1" t="str">
        <f t="shared" si="6"/>
        <v>January</v>
      </c>
      <c r="G197" t="s">
        <v>11</v>
      </c>
      <c r="H197" t="s">
        <v>14</v>
      </c>
      <c r="I197" t="s">
        <v>18</v>
      </c>
      <c r="J197" t="str">
        <f t="shared" si="7"/>
        <v>Error: Should be None</v>
      </c>
      <c r="K197">
        <v>3</v>
      </c>
      <c r="L197" s="2">
        <v>371.81</v>
      </c>
      <c r="M197" t="s">
        <v>4</v>
      </c>
    </row>
    <row r="198" spans="1:13" x14ac:dyDescent="0.35">
      <c r="A198">
        <v>197</v>
      </c>
      <c r="B198">
        <v>43</v>
      </c>
      <c r="C198" t="str">
        <f>IF(Hospital[[#This Row],[Age]]&lt;=12,"Child",
IF(Hospital[[#This Row],[Age]]&lt;=19,"Teen",
IF(Hospital[[#This Row],[Age]]&lt;=35,"Young Adult",
IF(Hospital[[#This Row],[Age]]&lt;=59,"Adult",
"Senior"))))</f>
        <v>Adult</v>
      </c>
      <c r="D198" t="s">
        <v>5</v>
      </c>
      <c r="E198" s="1">
        <v>45522</v>
      </c>
      <c r="F198" s="1" t="str">
        <f t="shared" si="6"/>
        <v>August</v>
      </c>
      <c r="G198" t="s">
        <v>11</v>
      </c>
      <c r="H198" t="s">
        <v>7</v>
      </c>
      <c r="I198" t="s">
        <v>3</v>
      </c>
      <c r="J198" t="str">
        <f t="shared" si="7"/>
        <v>Error: Should be None</v>
      </c>
      <c r="K198">
        <v>5</v>
      </c>
      <c r="L198" s="2">
        <v>282.08999999999997</v>
      </c>
      <c r="M198" t="s">
        <v>8</v>
      </c>
    </row>
    <row r="199" spans="1:13" x14ac:dyDescent="0.35">
      <c r="A199">
        <v>198</v>
      </c>
      <c r="B199">
        <v>62</v>
      </c>
      <c r="C199" t="str">
        <f>IF(Hospital[[#This Row],[Age]]&lt;=12,"Child",
IF(Hospital[[#This Row],[Age]]&lt;=19,"Teen",
IF(Hospital[[#This Row],[Age]]&lt;=35,"Young Adult",
IF(Hospital[[#This Row],[Age]]&lt;=59,"Adult",
"Senior"))))</f>
        <v>Senior</v>
      </c>
      <c r="D199" t="s">
        <v>5</v>
      </c>
      <c r="E199" s="1">
        <v>45628</v>
      </c>
      <c r="F199" s="1" t="str">
        <f t="shared" si="6"/>
        <v>December</v>
      </c>
      <c r="G199" t="s">
        <v>1</v>
      </c>
      <c r="H199" t="s">
        <v>12</v>
      </c>
      <c r="I199" t="s">
        <v>15</v>
      </c>
      <c r="J199" t="str">
        <f t="shared" si="7"/>
        <v>Error: Should be None</v>
      </c>
      <c r="K199">
        <v>7</v>
      </c>
      <c r="L199" s="2">
        <v>37.75</v>
      </c>
      <c r="M199" t="s">
        <v>8</v>
      </c>
    </row>
    <row r="200" spans="1:13" x14ac:dyDescent="0.35">
      <c r="A200">
        <v>199</v>
      </c>
      <c r="B200">
        <v>6</v>
      </c>
      <c r="C200" t="str">
        <f>IF(Hospital[[#This Row],[Age]]&lt;=12,"Child",
IF(Hospital[[#This Row],[Age]]&lt;=19,"Teen",
IF(Hospital[[#This Row],[Age]]&lt;=35,"Young Adult",
IF(Hospital[[#This Row],[Age]]&lt;=59,"Adult",
"Senior"))))</f>
        <v>Child</v>
      </c>
      <c r="D200" t="s">
        <v>0</v>
      </c>
      <c r="E200" s="1">
        <v>44971</v>
      </c>
      <c r="F200" s="1" t="str">
        <f t="shared" si="6"/>
        <v>February</v>
      </c>
      <c r="G200" t="s">
        <v>19</v>
      </c>
      <c r="H200" t="s">
        <v>17</v>
      </c>
      <c r="I200" t="s">
        <v>3</v>
      </c>
      <c r="J200" t="str">
        <f t="shared" si="7"/>
        <v>Error: Should be None</v>
      </c>
      <c r="K200">
        <v>6</v>
      </c>
      <c r="L200" s="2">
        <v>494.78</v>
      </c>
      <c r="M200" t="s">
        <v>10</v>
      </c>
    </row>
    <row r="201" spans="1:13" x14ac:dyDescent="0.35">
      <c r="A201">
        <v>200</v>
      </c>
      <c r="B201">
        <v>83</v>
      </c>
      <c r="C201" t="str">
        <f>IF(Hospital[[#This Row],[Age]]&lt;=12,"Child",
IF(Hospital[[#This Row],[Age]]&lt;=19,"Teen",
IF(Hospital[[#This Row],[Age]]&lt;=35,"Young Adult",
IF(Hospital[[#This Row],[Age]]&lt;=59,"Adult",
"Senior"))))</f>
        <v>Senior</v>
      </c>
      <c r="D201" t="s">
        <v>5</v>
      </c>
      <c r="E201" s="1">
        <v>45186</v>
      </c>
      <c r="F201" s="1" t="str">
        <f t="shared" si="6"/>
        <v>September</v>
      </c>
      <c r="G201" t="s">
        <v>19</v>
      </c>
      <c r="H201" t="s">
        <v>2</v>
      </c>
      <c r="I201" t="s">
        <v>3</v>
      </c>
      <c r="J201" t="str">
        <f t="shared" si="7"/>
        <v>Error: Should be None</v>
      </c>
      <c r="K201">
        <v>5</v>
      </c>
      <c r="L201" s="2">
        <v>433.83</v>
      </c>
      <c r="M201" t="s">
        <v>4</v>
      </c>
    </row>
    <row r="202" spans="1:13" x14ac:dyDescent="0.35">
      <c r="A202">
        <v>201</v>
      </c>
      <c r="B202">
        <v>35</v>
      </c>
      <c r="C20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02" t="s">
        <v>5</v>
      </c>
      <c r="E202" s="1">
        <v>45598</v>
      </c>
      <c r="F202" s="1" t="str">
        <f t="shared" si="6"/>
        <v>November</v>
      </c>
      <c r="G202" t="s">
        <v>19</v>
      </c>
      <c r="H202" t="s">
        <v>14</v>
      </c>
      <c r="I202" t="s">
        <v>20</v>
      </c>
      <c r="J202" t="str">
        <f t="shared" si="7"/>
        <v>Error: Should be None</v>
      </c>
      <c r="K202">
        <v>6</v>
      </c>
      <c r="L202" s="2">
        <v>376.79</v>
      </c>
      <c r="M202" t="s">
        <v>10</v>
      </c>
    </row>
    <row r="203" spans="1:13" x14ac:dyDescent="0.35">
      <c r="A203">
        <v>202</v>
      </c>
      <c r="B203">
        <v>64</v>
      </c>
      <c r="C203" t="str">
        <f>IF(Hospital[[#This Row],[Age]]&lt;=12,"Child",
IF(Hospital[[#This Row],[Age]]&lt;=19,"Teen",
IF(Hospital[[#This Row],[Age]]&lt;=35,"Young Adult",
IF(Hospital[[#This Row],[Age]]&lt;=59,"Adult",
"Senior"))))</f>
        <v>Senior</v>
      </c>
      <c r="D203" t="s">
        <v>0</v>
      </c>
      <c r="E203" s="1">
        <v>45274</v>
      </c>
      <c r="F203" s="1" t="str">
        <f t="shared" si="6"/>
        <v>December</v>
      </c>
      <c r="G203" t="s">
        <v>19</v>
      </c>
      <c r="H203" t="s">
        <v>17</v>
      </c>
      <c r="I203" t="s">
        <v>3</v>
      </c>
      <c r="J203" t="str">
        <f t="shared" si="7"/>
        <v>Error: Should be None</v>
      </c>
      <c r="K203">
        <v>4</v>
      </c>
      <c r="L203" s="2">
        <v>404.55</v>
      </c>
      <c r="M203" t="s">
        <v>10</v>
      </c>
    </row>
    <row r="204" spans="1:13" x14ac:dyDescent="0.35">
      <c r="A204">
        <v>203</v>
      </c>
      <c r="B204">
        <v>78</v>
      </c>
      <c r="C204" t="str">
        <f>IF(Hospital[[#This Row],[Age]]&lt;=12,"Child",
IF(Hospital[[#This Row],[Age]]&lt;=19,"Teen",
IF(Hospital[[#This Row],[Age]]&lt;=35,"Young Adult",
IF(Hospital[[#This Row],[Age]]&lt;=59,"Adult",
"Senior"))))</f>
        <v>Senior</v>
      </c>
      <c r="D204" t="s">
        <v>5</v>
      </c>
      <c r="E204" s="1">
        <v>45007</v>
      </c>
      <c r="F204" s="1" t="str">
        <f t="shared" si="6"/>
        <v>March</v>
      </c>
      <c r="G204" t="s">
        <v>19</v>
      </c>
      <c r="H204" t="s">
        <v>12</v>
      </c>
      <c r="I204" t="s">
        <v>18</v>
      </c>
      <c r="J204" t="str">
        <f t="shared" si="7"/>
        <v>Error: Should be None</v>
      </c>
      <c r="K204">
        <v>1</v>
      </c>
      <c r="L204" s="2">
        <v>58.43</v>
      </c>
      <c r="M204" t="s">
        <v>16</v>
      </c>
    </row>
    <row r="205" spans="1:13" x14ac:dyDescent="0.35">
      <c r="A205">
        <v>204</v>
      </c>
      <c r="B205">
        <v>78</v>
      </c>
      <c r="C205" t="str">
        <f>IF(Hospital[[#This Row],[Age]]&lt;=12,"Child",
IF(Hospital[[#This Row],[Age]]&lt;=19,"Teen",
IF(Hospital[[#This Row],[Age]]&lt;=35,"Young Adult",
IF(Hospital[[#This Row],[Age]]&lt;=59,"Adult",
"Senior"))))</f>
        <v>Senior</v>
      </c>
      <c r="D205" t="s">
        <v>0</v>
      </c>
      <c r="E205" s="1">
        <v>45240</v>
      </c>
      <c r="F205" s="1" t="str">
        <f t="shared" si="6"/>
        <v>November</v>
      </c>
      <c r="G205" t="s">
        <v>1</v>
      </c>
      <c r="H205" t="s">
        <v>12</v>
      </c>
      <c r="I205" t="s">
        <v>20</v>
      </c>
      <c r="J205" t="str">
        <f t="shared" si="7"/>
        <v>Error: Should be None</v>
      </c>
      <c r="K205">
        <v>5</v>
      </c>
      <c r="L205" s="2">
        <v>234.62</v>
      </c>
      <c r="M205" t="s">
        <v>16</v>
      </c>
    </row>
    <row r="206" spans="1:13" x14ac:dyDescent="0.35">
      <c r="A206">
        <v>205</v>
      </c>
      <c r="B206">
        <v>36</v>
      </c>
      <c r="C206" t="str">
        <f>IF(Hospital[[#This Row],[Age]]&lt;=12,"Child",
IF(Hospital[[#This Row],[Age]]&lt;=19,"Teen",
IF(Hospital[[#This Row],[Age]]&lt;=35,"Young Adult",
IF(Hospital[[#This Row],[Age]]&lt;=59,"Adult",
"Senior"))))</f>
        <v>Adult</v>
      </c>
      <c r="D206" t="s">
        <v>5</v>
      </c>
      <c r="E206" s="1">
        <v>45556</v>
      </c>
      <c r="F206" s="1" t="str">
        <f t="shared" si="6"/>
        <v>September</v>
      </c>
      <c r="G206" t="s">
        <v>11</v>
      </c>
      <c r="H206" t="s">
        <v>12</v>
      </c>
      <c r="I206" t="s">
        <v>20</v>
      </c>
      <c r="J206" t="str">
        <f t="shared" si="7"/>
        <v>Error: Should be None</v>
      </c>
      <c r="K206">
        <v>5</v>
      </c>
      <c r="L206" s="2">
        <v>266.27999999999997</v>
      </c>
      <c r="M206" t="s">
        <v>8</v>
      </c>
    </row>
    <row r="207" spans="1:13" x14ac:dyDescent="0.35">
      <c r="A207">
        <v>206</v>
      </c>
      <c r="B207">
        <v>78</v>
      </c>
      <c r="C207" t="str">
        <f>IF(Hospital[[#This Row],[Age]]&lt;=12,"Child",
IF(Hospital[[#This Row],[Age]]&lt;=19,"Teen",
IF(Hospital[[#This Row],[Age]]&lt;=35,"Young Adult",
IF(Hospital[[#This Row],[Age]]&lt;=59,"Adult",
"Senior"))))</f>
        <v>Senior</v>
      </c>
      <c r="D207" t="s">
        <v>0</v>
      </c>
      <c r="E207" s="1">
        <v>44958</v>
      </c>
      <c r="F207" s="1" t="str">
        <f t="shared" si="6"/>
        <v>February</v>
      </c>
      <c r="G207" t="s">
        <v>11</v>
      </c>
      <c r="H207" t="s">
        <v>17</v>
      </c>
      <c r="I207" t="s">
        <v>13</v>
      </c>
      <c r="J207" t="str">
        <f t="shared" si="7"/>
        <v>Error: Should be None</v>
      </c>
      <c r="K207">
        <v>1</v>
      </c>
      <c r="L207" s="2">
        <v>133.28</v>
      </c>
      <c r="M207" t="s">
        <v>16</v>
      </c>
    </row>
    <row r="208" spans="1:13" x14ac:dyDescent="0.35">
      <c r="A208">
        <v>207</v>
      </c>
      <c r="B208">
        <v>73</v>
      </c>
      <c r="C208" t="str">
        <f>IF(Hospital[[#This Row],[Age]]&lt;=12,"Child",
IF(Hospital[[#This Row],[Age]]&lt;=19,"Teen",
IF(Hospital[[#This Row],[Age]]&lt;=35,"Young Adult",
IF(Hospital[[#This Row],[Age]]&lt;=59,"Adult",
"Senior"))))</f>
        <v>Senior</v>
      </c>
      <c r="D208" t="s">
        <v>5</v>
      </c>
      <c r="E208" s="1">
        <v>45297</v>
      </c>
      <c r="F208" s="1" t="str">
        <f t="shared" si="6"/>
        <v>January</v>
      </c>
      <c r="G208" t="s">
        <v>1</v>
      </c>
      <c r="H208" t="s">
        <v>12</v>
      </c>
      <c r="I208" t="s">
        <v>20</v>
      </c>
      <c r="J208" t="str">
        <f t="shared" si="7"/>
        <v>Error: Should be None</v>
      </c>
      <c r="K208">
        <v>5</v>
      </c>
      <c r="L208" s="2">
        <v>198.57</v>
      </c>
      <c r="M208" t="s">
        <v>4</v>
      </c>
    </row>
    <row r="209" spans="1:13" x14ac:dyDescent="0.35">
      <c r="A209">
        <v>208</v>
      </c>
      <c r="B209">
        <v>68</v>
      </c>
      <c r="C209" t="str">
        <f>IF(Hospital[[#This Row],[Age]]&lt;=12,"Child",
IF(Hospital[[#This Row],[Age]]&lt;=19,"Teen",
IF(Hospital[[#This Row],[Age]]&lt;=35,"Young Adult",
IF(Hospital[[#This Row],[Age]]&lt;=59,"Adult",
"Senior"))))</f>
        <v>Senior</v>
      </c>
      <c r="D209" t="s">
        <v>0</v>
      </c>
      <c r="E209" s="1">
        <v>45514</v>
      </c>
      <c r="F209" s="1" t="str">
        <f t="shared" si="6"/>
        <v>August</v>
      </c>
      <c r="G209" t="s">
        <v>6</v>
      </c>
      <c r="H209" t="s">
        <v>17</v>
      </c>
      <c r="I209" t="s">
        <v>18</v>
      </c>
      <c r="J209" t="str">
        <f t="shared" si="7"/>
        <v>Error: Should be None</v>
      </c>
      <c r="K209">
        <v>10</v>
      </c>
      <c r="L209" s="2">
        <v>153.77000000000001</v>
      </c>
      <c r="M209" t="s">
        <v>4</v>
      </c>
    </row>
    <row r="210" spans="1:13" x14ac:dyDescent="0.35">
      <c r="A210">
        <v>209</v>
      </c>
      <c r="B210">
        <v>24</v>
      </c>
      <c r="C21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10" t="s">
        <v>0</v>
      </c>
      <c r="E210" s="1">
        <v>44953</v>
      </c>
      <c r="F210" s="1" t="str">
        <f t="shared" si="6"/>
        <v>January</v>
      </c>
      <c r="G210" t="s">
        <v>6</v>
      </c>
      <c r="H210" t="s">
        <v>7</v>
      </c>
      <c r="I210" t="s">
        <v>3</v>
      </c>
      <c r="J210" t="str">
        <f t="shared" si="7"/>
        <v>Error: Should be None</v>
      </c>
      <c r="K210">
        <v>8</v>
      </c>
      <c r="L210" s="2">
        <v>76.53</v>
      </c>
      <c r="M210" t="s">
        <v>16</v>
      </c>
    </row>
    <row r="211" spans="1:13" x14ac:dyDescent="0.35">
      <c r="A211">
        <v>210</v>
      </c>
      <c r="B211">
        <v>28</v>
      </c>
      <c r="C21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11" t="s">
        <v>0</v>
      </c>
      <c r="E211" s="1">
        <v>45647</v>
      </c>
      <c r="F211" s="1" t="str">
        <f t="shared" si="6"/>
        <v>December</v>
      </c>
      <c r="G211" t="s">
        <v>6</v>
      </c>
      <c r="H211" t="s">
        <v>12</v>
      </c>
      <c r="I211" t="s">
        <v>13</v>
      </c>
      <c r="J211" t="str">
        <f t="shared" si="7"/>
        <v>Error: Should be None</v>
      </c>
      <c r="K211">
        <v>1</v>
      </c>
      <c r="L211" s="2">
        <v>85.15</v>
      </c>
      <c r="M211" t="s">
        <v>4</v>
      </c>
    </row>
    <row r="212" spans="1:13" x14ac:dyDescent="0.35">
      <c r="A212">
        <v>211</v>
      </c>
      <c r="B212">
        <v>57</v>
      </c>
      <c r="C212" t="str">
        <f>IF(Hospital[[#This Row],[Age]]&lt;=12,"Child",
IF(Hospital[[#This Row],[Age]]&lt;=19,"Teen",
IF(Hospital[[#This Row],[Age]]&lt;=35,"Young Adult",
IF(Hospital[[#This Row],[Age]]&lt;=59,"Adult",
"Senior"))))</f>
        <v>Adult</v>
      </c>
      <c r="D212" t="s">
        <v>5</v>
      </c>
      <c r="E212" s="1">
        <v>45389</v>
      </c>
      <c r="F212" s="1" t="str">
        <f t="shared" si="6"/>
        <v>April</v>
      </c>
      <c r="G212" t="s">
        <v>19</v>
      </c>
      <c r="H212" t="s">
        <v>17</v>
      </c>
      <c r="I212" t="s">
        <v>18</v>
      </c>
      <c r="J212" t="str">
        <f t="shared" si="7"/>
        <v>Error: Should be None</v>
      </c>
      <c r="K212">
        <v>1</v>
      </c>
      <c r="L212" s="2">
        <v>284</v>
      </c>
      <c r="M212" t="s">
        <v>16</v>
      </c>
    </row>
    <row r="213" spans="1:13" x14ac:dyDescent="0.35">
      <c r="A213">
        <v>212</v>
      </c>
      <c r="B213">
        <v>82</v>
      </c>
      <c r="C213" t="str">
        <f>IF(Hospital[[#This Row],[Age]]&lt;=12,"Child",
IF(Hospital[[#This Row],[Age]]&lt;=19,"Teen",
IF(Hospital[[#This Row],[Age]]&lt;=35,"Young Adult",
IF(Hospital[[#This Row],[Age]]&lt;=59,"Adult",
"Senior"))))</f>
        <v>Senior</v>
      </c>
      <c r="D213" t="s">
        <v>5</v>
      </c>
      <c r="E213" s="1">
        <v>45234</v>
      </c>
      <c r="F213" s="1" t="str">
        <f t="shared" si="6"/>
        <v>November</v>
      </c>
      <c r="G213" t="s">
        <v>19</v>
      </c>
      <c r="H213" t="s">
        <v>17</v>
      </c>
      <c r="I213" t="s">
        <v>3</v>
      </c>
      <c r="J213" t="str">
        <f t="shared" si="7"/>
        <v>Error: Should be None</v>
      </c>
      <c r="K213">
        <v>3</v>
      </c>
      <c r="L213" s="2">
        <v>78.25</v>
      </c>
      <c r="M213" t="s">
        <v>8</v>
      </c>
    </row>
    <row r="214" spans="1:13" x14ac:dyDescent="0.35">
      <c r="A214">
        <v>213</v>
      </c>
      <c r="B214">
        <v>64</v>
      </c>
      <c r="C214" t="str">
        <f>IF(Hospital[[#This Row],[Age]]&lt;=12,"Child",
IF(Hospital[[#This Row],[Age]]&lt;=19,"Teen",
IF(Hospital[[#This Row],[Age]]&lt;=35,"Young Adult",
IF(Hospital[[#This Row],[Age]]&lt;=59,"Adult",
"Senior"))))</f>
        <v>Senior</v>
      </c>
      <c r="D214" t="s">
        <v>5</v>
      </c>
      <c r="E214" s="1">
        <v>45069</v>
      </c>
      <c r="F214" s="1" t="str">
        <f t="shared" si="6"/>
        <v>May</v>
      </c>
      <c r="G214" t="s">
        <v>19</v>
      </c>
      <c r="H214" t="s">
        <v>17</v>
      </c>
      <c r="I214" t="s">
        <v>3</v>
      </c>
      <c r="J214" t="str">
        <f t="shared" si="7"/>
        <v>Error: Should be None</v>
      </c>
      <c r="K214">
        <v>9</v>
      </c>
      <c r="L214" s="2">
        <v>197.08</v>
      </c>
      <c r="M214" t="s">
        <v>8</v>
      </c>
    </row>
    <row r="215" spans="1:13" x14ac:dyDescent="0.35">
      <c r="A215">
        <v>214</v>
      </c>
      <c r="B215">
        <v>9</v>
      </c>
      <c r="C215" t="str">
        <f>IF(Hospital[[#This Row],[Age]]&lt;=12,"Child",
IF(Hospital[[#This Row],[Age]]&lt;=19,"Teen",
IF(Hospital[[#This Row],[Age]]&lt;=35,"Young Adult",
IF(Hospital[[#This Row],[Age]]&lt;=59,"Adult",
"Senior"))))</f>
        <v>Child</v>
      </c>
      <c r="D215" t="s">
        <v>0</v>
      </c>
      <c r="E215" s="1">
        <v>45553</v>
      </c>
      <c r="F215" s="1" t="str">
        <f t="shared" si="6"/>
        <v>September</v>
      </c>
      <c r="G215" t="s">
        <v>6</v>
      </c>
      <c r="H215" t="s">
        <v>2</v>
      </c>
      <c r="I215" t="s">
        <v>3</v>
      </c>
      <c r="J215" t="str">
        <f t="shared" si="7"/>
        <v>Error: Should be None</v>
      </c>
      <c r="K215">
        <v>7</v>
      </c>
      <c r="L215" s="2">
        <v>272.33</v>
      </c>
      <c r="M215" t="s">
        <v>10</v>
      </c>
    </row>
    <row r="216" spans="1:13" x14ac:dyDescent="0.35">
      <c r="A216">
        <v>215</v>
      </c>
      <c r="B216">
        <v>17</v>
      </c>
      <c r="C216" t="str">
        <f>IF(Hospital[[#This Row],[Age]]&lt;=12,"Child",
IF(Hospital[[#This Row],[Age]]&lt;=19,"Teen",
IF(Hospital[[#This Row],[Age]]&lt;=35,"Young Adult",
IF(Hospital[[#This Row],[Age]]&lt;=59,"Adult",
"Senior"))))</f>
        <v>Teen</v>
      </c>
      <c r="D216" t="s">
        <v>0</v>
      </c>
      <c r="E216" s="1">
        <v>45515</v>
      </c>
      <c r="F216" s="1" t="str">
        <f t="shared" si="6"/>
        <v>August</v>
      </c>
      <c r="G216" t="s">
        <v>11</v>
      </c>
      <c r="H216" t="s">
        <v>2</v>
      </c>
      <c r="I216" t="s">
        <v>3</v>
      </c>
      <c r="J216" t="str">
        <f t="shared" si="7"/>
        <v>Error: Should be None</v>
      </c>
      <c r="K216">
        <v>7</v>
      </c>
      <c r="L216" s="2">
        <v>243.6</v>
      </c>
      <c r="M216" t="s">
        <v>16</v>
      </c>
    </row>
    <row r="217" spans="1:13" x14ac:dyDescent="0.35">
      <c r="A217">
        <v>216</v>
      </c>
      <c r="B217">
        <v>82</v>
      </c>
      <c r="C217" t="str">
        <f>IF(Hospital[[#This Row],[Age]]&lt;=12,"Child",
IF(Hospital[[#This Row],[Age]]&lt;=19,"Teen",
IF(Hospital[[#This Row],[Age]]&lt;=35,"Young Adult",
IF(Hospital[[#This Row],[Age]]&lt;=59,"Adult",
"Senior"))))</f>
        <v>Senior</v>
      </c>
      <c r="D217" t="s">
        <v>5</v>
      </c>
      <c r="E217" s="1">
        <v>45058</v>
      </c>
      <c r="F217" s="1" t="str">
        <f t="shared" si="6"/>
        <v>May</v>
      </c>
      <c r="G217" t="s">
        <v>1</v>
      </c>
      <c r="H217" t="s">
        <v>9</v>
      </c>
      <c r="I217" t="s">
        <v>3</v>
      </c>
      <c r="J217" t="str">
        <f t="shared" si="7"/>
        <v>Error: Should be None</v>
      </c>
      <c r="K217">
        <v>6</v>
      </c>
      <c r="L217" s="2">
        <v>261.37</v>
      </c>
      <c r="M217" t="s">
        <v>4</v>
      </c>
    </row>
    <row r="218" spans="1:13" x14ac:dyDescent="0.35">
      <c r="A218">
        <v>217</v>
      </c>
      <c r="B218">
        <v>20</v>
      </c>
      <c r="C21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18" t="s">
        <v>0</v>
      </c>
      <c r="E218" s="1">
        <v>45054</v>
      </c>
      <c r="F218" s="1" t="str">
        <f t="shared" si="6"/>
        <v>May</v>
      </c>
      <c r="G218" t="s">
        <v>1</v>
      </c>
      <c r="H218" t="s">
        <v>9</v>
      </c>
      <c r="I218" t="s">
        <v>3</v>
      </c>
      <c r="J218" t="str">
        <f t="shared" si="7"/>
        <v>Error: Should be None</v>
      </c>
      <c r="K218">
        <v>2</v>
      </c>
      <c r="L218" s="2">
        <v>174.88</v>
      </c>
      <c r="M218" t="s">
        <v>8</v>
      </c>
    </row>
    <row r="219" spans="1:13" x14ac:dyDescent="0.35">
      <c r="A219">
        <v>218</v>
      </c>
      <c r="B219">
        <v>37</v>
      </c>
      <c r="C219" t="str">
        <f>IF(Hospital[[#This Row],[Age]]&lt;=12,"Child",
IF(Hospital[[#This Row],[Age]]&lt;=19,"Teen",
IF(Hospital[[#This Row],[Age]]&lt;=35,"Young Adult",
IF(Hospital[[#This Row],[Age]]&lt;=59,"Adult",
"Senior"))))</f>
        <v>Adult</v>
      </c>
      <c r="D219" t="s">
        <v>5</v>
      </c>
      <c r="E219" s="1">
        <v>45281</v>
      </c>
      <c r="F219" s="1" t="str">
        <f t="shared" si="6"/>
        <v>December</v>
      </c>
      <c r="G219" t="s">
        <v>19</v>
      </c>
      <c r="H219" t="s">
        <v>9</v>
      </c>
      <c r="I219" t="s">
        <v>3</v>
      </c>
      <c r="J219" t="str">
        <f t="shared" si="7"/>
        <v>Error: Should be None</v>
      </c>
      <c r="K219">
        <v>3</v>
      </c>
      <c r="L219" s="2">
        <v>324.83</v>
      </c>
      <c r="M219" t="s">
        <v>16</v>
      </c>
    </row>
    <row r="220" spans="1:13" x14ac:dyDescent="0.35">
      <c r="A220">
        <v>219</v>
      </c>
      <c r="B220">
        <v>39</v>
      </c>
      <c r="C220" t="str">
        <f>IF(Hospital[[#This Row],[Age]]&lt;=12,"Child",
IF(Hospital[[#This Row],[Age]]&lt;=19,"Teen",
IF(Hospital[[#This Row],[Age]]&lt;=35,"Young Adult",
IF(Hospital[[#This Row],[Age]]&lt;=59,"Adult",
"Senior"))))</f>
        <v>Adult</v>
      </c>
      <c r="D220" t="s">
        <v>5</v>
      </c>
      <c r="E220" s="1">
        <v>45055</v>
      </c>
      <c r="F220" s="1" t="str">
        <f t="shared" si="6"/>
        <v>May</v>
      </c>
      <c r="G220" t="s">
        <v>1</v>
      </c>
      <c r="H220" t="s">
        <v>7</v>
      </c>
      <c r="I220" t="s">
        <v>3</v>
      </c>
      <c r="J220" t="str">
        <f t="shared" si="7"/>
        <v>Error: Should be None</v>
      </c>
      <c r="K220">
        <v>9</v>
      </c>
      <c r="L220" s="2">
        <v>471.97</v>
      </c>
      <c r="M220" t="s">
        <v>8</v>
      </c>
    </row>
    <row r="221" spans="1:13" x14ac:dyDescent="0.35">
      <c r="A221">
        <v>220</v>
      </c>
      <c r="B221">
        <v>80</v>
      </c>
      <c r="C221" t="str">
        <f>IF(Hospital[[#This Row],[Age]]&lt;=12,"Child",
IF(Hospital[[#This Row],[Age]]&lt;=19,"Teen",
IF(Hospital[[#This Row],[Age]]&lt;=35,"Young Adult",
IF(Hospital[[#This Row],[Age]]&lt;=59,"Adult",
"Senior"))))</f>
        <v>Senior</v>
      </c>
      <c r="D221" t="s">
        <v>0</v>
      </c>
      <c r="E221" s="1">
        <v>45102</v>
      </c>
      <c r="F221" s="1" t="str">
        <f t="shared" si="6"/>
        <v>June</v>
      </c>
      <c r="G221" t="s">
        <v>11</v>
      </c>
      <c r="H221" t="s">
        <v>7</v>
      </c>
      <c r="I221" t="s">
        <v>3</v>
      </c>
      <c r="J221" t="str">
        <f t="shared" si="7"/>
        <v>Error: Should be None</v>
      </c>
      <c r="K221">
        <v>0</v>
      </c>
      <c r="L221" s="2">
        <v>58.99</v>
      </c>
      <c r="M221" t="s">
        <v>16</v>
      </c>
    </row>
    <row r="222" spans="1:13" x14ac:dyDescent="0.35">
      <c r="A222">
        <v>221</v>
      </c>
      <c r="B222">
        <v>74</v>
      </c>
      <c r="C222" t="str">
        <f>IF(Hospital[[#This Row],[Age]]&lt;=12,"Child",
IF(Hospital[[#This Row],[Age]]&lt;=19,"Teen",
IF(Hospital[[#This Row],[Age]]&lt;=35,"Young Adult",
IF(Hospital[[#This Row],[Age]]&lt;=59,"Adult",
"Senior"))))</f>
        <v>Senior</v>
      </c>
      <c r="D222" t="s">
        <v>0</v>
      </c>
      <c r="E222" s="1">
        <v>45593</v>
      </c>
      <c r="F222" s="1" t="str">
        <f t="shared" si="6"/>
        <v>October</v>
      </c>
      <c r="G222" t="s">
        <v>11</v>
      </c>
      <c r="H222" t="s">
        <v>17</v>
      </c>
      <c r="I222" t="s">
        <v>20</v>
      </c>
      <c r="J222" t="str">
        <f t="shared" si="7"/>
        <v>Error: Should be None</v>
      </c>
      <c r="K222">
        <v>10</v>
      </c>
      <c r="L222" s="2">
        <v>281.88</v>
      </c>
      <c r="M222" t="s">
        <v>16</v>
      </c>
    </row>
    <row r="223" spans="1:13" x14ac:dyDescent="0.35">
      <c r="A223">
        <v>222</v>
      </c>
      <c r="B223">
        <v>52</v>
      </c>
      <c r="C223" t="str">
        <f>IF(Hospital[[#This Row],[Age]]&lt;=12,"Child",
IF(Hospital[[#This Row],[Age]]&lt;=19,"Teen",
IF(Hospital[[#This Row],[Age]]&lt;=35,"Young Adult",
IF(Hospital[[#This Row],[Age]]&lt;=59,"Adult",
"Senior"))))</f>
        <v>Adult</v>
      </c>
      <c r="D223" t="s">
        <v>0</v>
      </c>
      <c r="E223" s="1">
        <v>45421</v>
      </c>
      <c r="F223" s="1" t="str">
        <f t="shared" si="6"/>
        <v>May</v>
      </c>
      <c r="G223" t="s">
        <v>6</v>
      </c>
      <c r="H223" t="s">
        <v>17</v>
      </c>
      <c r="I223" t="s">
        <v>15</v>
      </c>
      <c r="J223" t="str">
        <f t="shared" si="7"/>
        <v>Error: Should be None</v>
      </c>
      <c r="K223">
        <v>0</v>
      </c>
      <c r="L223" s="2">
        <v>95.88</v>
      </c>
      <c r="M223" t="s">
        <v>10</v>
      </c>
    </row>
    <row r="224" spans="1:13" x14ac:dyDescent="0.35">
      <c r="A224">
        <v>223</v>
      </c>
      <c r="B224">
        <v>27</v>
      </c>
      <c r="C22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24" t="s">
        <v>0</v>
      </c>
      <c r="E224" s="1">
        <v>45422</v>
      </c>
      <c r="F224" s="1" t="str">
        <f t="shared" si="6"/>
        <v>May</v>
      </c>
      <c r="G224" t="s">
        <v>1</v>
      </c>
      <c r="H224" t="s">
        <v>12</v>
      </c>
      <c r="I224" t="s">
        <v>18</v>
      </c>
      <c r="J224" t="str">
        <f t="shared" si="7"/>
        <v>Error: Should be None</v>
      </c>
      <c r="K224">
        <v>5</v>
      </c>
      <c r="L224" s="2">
        <v>372.42</v>
      </c>
      <c r="M224" t="s">
        <v>16</v>
      </c>
    </row>
    <row r="225" spans="1:13" x14ac:dyDescent="0.35">
      <c r="A225">
        <v>224</v>
      </c>
      <c r="B225">
        <v>48</v>
      </c>
      <c r="C225" t="str">
        <f>IF(Hospital[[#This Row],[Age]]&lt;=12,"Child",
IF(Hospital[[#This Row],[Age]]&lt;=19,"Teen",
IF(Hospital[[#This Row],[Age]]&lt;=35,"Young Adult",
IF(Hospital[[#This Row],[Age]]&lt;=59,"Adult",
"Senior"))))</f>
        <v>Adult</v>
      </c>
      <c r="D225" t="s">
        <v>5</v>
      </c>
      <c r="E225" s="1">
        <v>45335</v>
      </c>
      <c r="F225" s="1" t="str">
        <f t="shared" si="6"/>
        <v>February</v>
      </c>
      <c r="G225" t="s">
        <v>19</v>
      </c>
      <c r="H225" t="s">
        <v>17</v>
      </c>
      <c r="I225" t="s">
        <v>13</v>
      </c>
      <c r="J225" t="str">
        <f t="shared" si="7"/>
        <v>Error: Should be None</v>
      </c>
      <c r="K225">
        <v>7</v>
      </c>
      <c r="L225" s="2">
        <v>78.81</v>
      </c>
      <c r="M225" t="s">
        <v>10</v>
      </c>
    </row>
    <row r="226" spans="1:13" x14ac:dyDescent="0.35">
      <c r="A226">
        <v>225</v>
      </c>
      <c r="B226">
        <v>13</v>
      </c>
      <c r="C226" t="str">
        <f>IF(Hospital[[#This Row],[Age]]&lt;=12,"Child",
IF(Hospital[[#This Row],[Age]]&lt;=19,"Teen",
IF(Hospital[[#This Row],[Age]]&lt;=35,"Young Adult",
IF(Hospital[[#This Row],[Age]]&lt;=59,"Adult",
"Senior"))))</f>
        <v>Teen</v>
      </c>
      <c r="D226" t="s">
        <v>5</v>
      </c>
      <c r="E226" s="1">
        <v>45180</v>
      </c>
      <c r="F226" s="1" t="str">
        <f t="shared" si="6"/>
        <v>September</v>
      </c>
      <c r="G226" t="s">
        <v>19</v>
      </c>
      <c r="H226" t="s">
        <v>17</v>
      </c>
      <c r="I226" t="s">
        <v>20</v>
      </c>
      <c r="J226" t="str">
        <f t="shared" si="7"/>
        <v>Error: Should be None</v>
      </c>
      <c r="K226">
        <v>9</v>
      </c>
      <c r="L226" s="2">
        <v>220.7</v>
      </c>
      <c r="M226" t="s">
        <v>8</v>
      </c>
    </row>
    <row r="227" spans="1:13" x14ac:dyDescent="0.35">
      <c r="A227">
        <v>226</v>
      </c>
      <c r="B227">
        <v>41</v>
      </c>
      <c r="C227" t="str">
        <f>IF(Hospital[[#This Row],[Age]]&lt;=12,"Child",
IF(Hospital[[#This Row],[Age]]&lt;=19,"Teen",
IF(Hospital[[#This Row],[Age]]&lt;=35,"Young Adult",
IF(Hospital[[#This Row],[Age]]&lt;=59,"Adult",
"Senior"))))</f>
        <v>Adult</v>
      </c>
      <c r="D227" t="s">
        <v>5</v>
      </c>
      <c r="E227" s="1">
        <v>45262</v>
      </c>
      <c r="F227" s="1" t="str">
        <f t="shared" si="6"/>
        <v>December</v>
      </c>
      <c r="G227" t="s">
        <v>1</v>
      </c>
      <c r="H227" t="s">
        <v>9</v>
      </c>
      <c r="I227" t="s">
        <v>3</v>
      </c>
      <c r="J227" t="str">
        <f t="shared" si="7"/>
        <v>Error: Should be None</v>
      </c>
      <c r="K227">
        <v>7</v>
      </c>
      <c r="L227" s="2">
        <v>498.07</v>
      </c>
      <c r="M227" t="s">
        <v>10</v>
      </c>
    </row>
    <row r="228" spans="1:13" x14ac:dyDescent="0.35">
      <c r="A228">
        <v>227</v>
      </c>
      <c r="B228">
        <v>64</v>
      </c>
      <c r="C228" t="str">
        <f>IF(Hospital[[#This Row],[Age]]&lt;=12,"Child",
IF(Hospital[[#This Row],[Age]]&lt;=19,"Teen",
IF(Hospital[[#This Row],[Age]]&lt;=35,"Young Adult",
IF(Hospital[[#This Row],[Age]]&lt;=59,"Adult",
"Senior"))))</f>
        <v>Senior</v>
      </c>
      <c r="D228" t="s">
        <v>5</v>
      </c>
      <c r="E228" s="1">
        <v>45437</v>
      </c>
      <c r="F228" s="1" t="str">
        <f t="shared" si="6"/>
        <v>May</v>
      </c>
      <c r="G228" t="s">
        <v>11</v>
      </c>
      <c r="H228" t="s">
        <v>14</v>
      </c>
      <c r="I228" t="s">
        <v>20</v>
      </c>
      <c r="J228" t="str">
        <f t="shared" si="7"/>
        <v>Error: Should be None</v>
      </c>
      <c r="K228">
        <v>8</v>
      </c>
      <c r="L228" s="2">
        <v>239.47</v>
      </c>
      <c r="M228" t="s">
        <v>8</v>
      </c>
    </row>
    <row r="229" spans="1:13" x14ac:dyDescent="0.35">
      <c r="A229">
        <v>228</v>
      </c>
      <c r="B229">
        <v>46</v>
      </c>
      <c r="C229" t="str">
        <f>IF(Hospital[[#This Row],[Age]]&lt;=12,"Child",
IF(Hospital[[#This Row],[Age]]&lt;=19,"Teen",
IF(Hospital[[#This Row],[Age]]&lt;=35,"Young Adult",
IF(Hospital[[#This Row],[Age]]&lt;=59,"Adult",
"Senior"))))</f>
        <v>Adult</v>
      </c>
      <c r="D229" t="s">
        <v>5</v>
      </c>
      <c r="E229" s="1">
        <v>45147</v>
      </c>
      <c r="F229" s="1" t="str">
        <f t="shared" si="6"/>
        <v>August</v>
      </c>
      <c r="G229" t="s">
        <v>11</v>
      </c>
      <c r="H229" t="s">
        <v>9</v>
      </c>
      <c r="I229" t="s">
        <v>3</v>
      </c>
      <c r="J229" t="str">
        <f t="shared" si="7"/>
        <v>Error: Should be None</v>
      </c>
      <c r="K229">
        <v>4</v>
      </c>
      <c r="L229" s="2">
        <v>257.55</v>
      </c>
      <c r="M229" t="s">
        <v>10</v>
      </c>
    </row>
    <row r="230" spans="1:13" x14ac:dyDescent="0.35">
      <c r="A230">
        <v>229</v>
      </c>
      <c r="B230">
        <v>2</v>
      </c>
      <c r="C230" t="str">
        <f>IF(Hospital[[#This Row],[Age]]&lt;=12,"Child",
IF(Hospital[[#This Row],[Age]]&lt;=19,"Teen",
IF(Hospital[[#This Row],[Age]]&lt;=35,"Young Adult",
IF(Hospital[[#This Row],[Age]]&lt;=59,"Adult",
"Senior"))))</f>
        <v>Child</v>
      </c>
      <c r="D230" t="s">
        <v>5</v>
      </c>
      <c r="E230" s="1">
        <v>45219</v>
      </c>
      <c r="F230" s="1" t="str">
        <f t="shared" si="6"/>
        <v>October</v>
      </c>
      <c r="G230" t="s">
        <v>6</v>
      </c>
      <c r="H230" t="s">
        <v>9</v>
      </c>
      <c r="I230" t="s">
        <v>3</v>
      </c>
      <c r="J230" t="str">
        <f t="shared" si="7"/>
        <v>Error: Should be None</v>
      </c>
      <c r="K230">
        <v>2</v>
      </c>
      <c r="L230" s="2">
        <v>443.58</v>
      </c>
      <c r="M230" t="s">
        <v>16</v>
      </c>
    </row>
    <row r="231" spans="1:13" x14ac:dyDescent="0.35">
      <c r="A231">
        <v>230</v>
      </c>
      <c r="B231">
        <v>6</v>
      </c>
      <c r="C231" t="str">
        <f>IF(Hospital[[#This Row],[Age]]&lt;=12,"Child",
IF(Hospital[[#This Row],[Age]]&lt;=19,"Teen",
IF(Hospital[[#This Row],[Age]]&lt;=35,"Young Adult",
IF(Hospital[[#This Row],[Age]]&lt;=59,"Adult",
"Senior"))))</f>
        <v>Child</v>
      </c>
      <c r="D231" t="s">
        <v>0</v>
      </c>
      <c r="E231" s="1">
        <v>45339</v>
      </c>
      <c r="F231" s="1" t="str">
        <f t="shared" si="6"/>
        <v>February</v>
      </c>
      <c r="G231" t="s">
        <v>11</v>
      </c>
      <c r="H231" t="s">
        <v>14</v>
      </c>
      <c r="I231" t="s">
        <v>3</v>
      </c>
      <c r="J231" t="str">
        <f t="shared" si="7"/>
        <v>Error: Should be None</v>
      </c>
      <c r="K231">
        <v>8</v>
      </c>
      <c r="L231" s="2">
        <v>113.43</v>
      </c>
      <c r="M231" t="s">
        <v>16</v>
      </c>
    </row>
    <row r="232" spans="1:13" x14ac:dyDescent="0.35">
      <c r="A232">
        <v>231</v>
      </c>
      <c r="B232">
        <v>65</v>
      </c>
      <c r="C232" t="str">
        <f>IF(Hospital[[#This Row],[Age]]&lt;=12,"Child",
IF(Hospital[[#This Row],[Age]]&lt;=19,"Teen",
IF(Hospital[[#This Row],[Age]]&lt;=35,"Young Adult",
IF(Hospital[[#This Row],[Age]]&lt;=59,"Adult",
"Senior"))))</f>
        <v>Senior</v>
      </c>
      <c r="D232" t="s">
        <v>0</v>
      </c>
      <c r="E232" s="1">
        <v>45002</v>
      </c>
      <c r="F232" s="1" t="str">
        <f t="shared" si="6"/>
        <v>March</v>
      </c>
      <c r="G232" t="s">
        <v>19</v>
      </c>
      <c r="H232" t="s">
        <v>12</v>
      </c>
      <c r="I232" t="s">
        <v>3</v>
      </c>
      <c r="J232" t="str">
        <f t="shared" si="7"/>
        <v>Error: Should be None</v>
      </c>
      <c r="K232">
        <v>10</v>
      </c>
      <c r="L232" s="2">
        <v>313.3</v>
      </c>
      <c r="M232" t="s">
        <v>8</v>
      </c>
    </row>
    <row r="233" spans="1:13" x14ac:dyDescent="0.35">
      <c r="A233">
        <v>232</v>
      </c>
      <c r="B233">
        <v>48</v>
      </c>
      <c r="C233" t="str">
        <f>IF(Hospital[[#This Row],[Age]]&lt;=12,"Child",
IF(Hospital[[#This Row],[Age]]&lt;=19,"Teen",
IF(Hospital[[#This Row],[Age]]&lt;=35,"Young Adult",
IF(Hospital[[#This Row],[Age]]&lt;=59,"Adult",
"Senior"))))</f>
        <v>Adult</v>
      </c>
      <c r="D233" t="s">
        <v>0</v>
      </c>
      <c r="E233" s="1">
        <v>45026</v>
      </c>
      <c r="F233" s="1" t="str">
        <f t="shared" si="6"/>
        <v>April</v>
      </c>
      <c r="G233" t="s">
        <v>19</v>
      </c>
      <c r="H233" t="s">
        <v>12</v>
      </c>
      <c r="I233" t="s">
        <v>13</v>
      </c>
      <c r="J233" t="str">
        <f t="shared" si="7"/>
        <v>Error: Should be None</v>
      </c>
      <c r="K233">
        <v>3</v>
      </c>
      <c r="L233" s="2">
        <v>309.18</v>
      </c>
      <c r="M233" t="s">
        <v>10</v>
      </c>
    </row>
    <row r="234" spans="1:13" x14ac:dyDescent="0.35">
      <c r="A234">
        <v>233</v>
      </c>
      <c r="B234">
        <v>6</v>
      </c>
      <c r="C234" t="str">
        <f>IF(Hospital[[#This Row],[Age]]&lt;=12,"Child",
IF(Hospital[[#This Row],[Age]]&lt;=19,"Teen",
IF(Hospital[[#This Row],[Age]]&lt;=35,"Young Adult",
IF(Hospital[[#This Row],[Age]]&lt;=59,"Adult",
"Senior"))))</f>
        <v>Child</v>
      </c>
      <c r="D234" t="s">
        <v>5</v>
      </c>
      <c r="E234" s="1">
        <v>45439</v>
      </c>
      <c r="F234" s="1" t="str">
        <f t="shared" si="6"/>
        <v>May</v>
      </c>
      <c r="G234" t="s">
        <v>1</v>
      </c>
      <c r="H234" t="s">
        <v>2</v>
      </c>
      <c r="I234" t="s">
        <v>3</v>
      </c>
      <c r="J234" t="str">
        <f t="shared" si="7"/>
        <v>Error: Should be None</v>
      </c>
      <c r="K234">
        <v>5</v>
      </c>
      <c r="L234" s="2">
        <v>405.9</v>
      </c>
      <c r="M234" t="s">
        <v>10</v>
      </c>
    </row>
    <row r="235" spans="1:13" x14ac:dyDescent="0.35">
      <c r="A235">
        <v>234</v>
      </c>
      <c r="B235">
        <v>66</v>
      </c>
      <c r="C235" t="str">
        <f>IF(Hospital[[#This Row],[Age]]&lt;=12,"Child",
IF(Hospital[[#This Row],[Age]]&lt;=19,"Teen",
IF(Hospital[[#This Row],[Age]]&lt;=35,"Young Adult",
IF(Hospital[[#This Row],[Age]]&lt;=59,"Adult",
"Senior"))))</f>
        <v>Senior</v>
      </c>
      <c r="D235" t="s">
        <v>5</v>
      </c>
      <c r="E235" s="1">
        <v>45079</v>
      </c>
      <c r="F235" s="1" t="str">
        <f t="shared" si="6"/>
        <v>June</v>
      </c>
      <c r="G235" t="s">
        <v>19</v>
      </c>
      <c r="H235" t="s">
        <v>9</v>
      </c>
      <c r="I235" t="s">
        <v>3</v>
      </c>
      <c r="J235" t="str">
        <f t="shared" si="7"/>
        <v>Error: Should be None</v>
      </c>
      <c r="K235">
        <v>9</v>
      </c>
      <c r="L235" s="2">
        <v>172.89</v>
      </c>
      <c r="M235" t="s">
        <v>10</v>
      </c>
    </row>
    <row r="236" spans="1:13" x14ac:dyDescent="0.35">
      <c r="A236">
        <v>235</v>
      </c>
      <c r="B236">
        <v>39</v>
      </c>
      <c r="C236" t="str">
        <f>IF(Hospital[[#This Row],[Age]]&lt;=12,"Child",
IF(Hospital[[#This Row],[Age]]&lt;=19,"Teen",
IF(Hospital[[#This Row],[Age]]&lt;=35,"Young Adult",
IF(Hospital[[#This Row],[Age]]&lt;=59,"Adult",
"Senior"))))</f>
        <v>Adult</v>
      </c>
      <c r="D236" t="s">
        <v>0</v>
      </c>
      <c r="E236" s="1">
        <v>45558</v>
      </c>
      <c r="F236" s="1" t="str">
        <f t="shared" si="6"/>
        <v>September</v>
      </c>
      <c r="G236" t="s">
        <v>6</v>
      </c>
      <c r="H236" t="s">
        <v>7</v>
      </c>
      <c r="I236" t="s">
        <v>3</v>
      </c>
      <c r="J236" t="str">
        <f t="shared" si="7"/>
        <v>Error: Should be None</v>
      </c>
      <c r="K236">
        <v>9</v>
      </c>
      <c r="L236" s="2">
        <v>163.9</v>
      </c>
      <c r="M236" t="s">
        <v>4</v>
      </c>
    </row>
    <row r="237" spans="1:13" x14ac:dyDescent="0.35">
      <c r="A237">
        <v>236</v>
      </c>
      <c r="B237">
        <v>15</v>
      </c>
      <c r="C237" t="str">
        <f>IF(Hospital[[#This Row],[Age]]&lt;=12,"Child",
IF(Hospital[[#This Row],[Age]]&lt;=19,"Teen",
IF(Hospital[[#This Row],[Age]]&lt;=35,"Young Adult",
IF(Hospital[[#This Row],[Age]]&lt;=59,"Adult",
"Senior"))))</f>
        <v>Teen</v>
      </c>
      <c r="D237" t="s">
        <v>0</v>
      </c>
      <c r="E237" s="1">
        <v>45304</v>
      </c>
      <c r="F237" s="1" t="str">
        <f t="shared" si="6"/>
        <v>January</v>
      </c>
      <c r="G237" t="s">
        <v>19</v>
      </c>
      <c r="H237" t="s">
        <v>14</v>
      </c>
      <c r="I237" t="s">
        <v>15</v>
      </c>
      <c r="J237" t="str">
        <f t="shared" si="7"/>
        <v>Error: Should be None</v>
      </c>
      <c r="K237">
        <v>9</v>
      </c>
      <c r="L237" s="2">
        <v>247.8</v>
      </c>
      <c r="M237" t="s">
        <v>8</v>
      </c>
    </row>
    <row r="238" spans="1:13" x14ac:dyDescent="0.35">
      <c r="A238">
        <v>237</v>
      </c>
      <c r="B238">
        <v>62</v>
      </c>
      <c r="C238" t="str">
        <f>IF(Hospital[[#This Row],[Age]]&lt;=12,"Child",
IF(Hospital[[#This Row],[Age]]&lt;=19,"Teen",
IF(Hospital[[#This Row],[Age]]&lt;=35,"Young Adult",
IF(Hospital[[#This Row],[Age]]&lt;=59,"Adult",
"Senior"))))</f>
        <v>Senior</v>
      </c>
      <c r="D238" t="s">
        <v>5</v>
      </c>
      <c r="E238" s="1">
        <v>44979</v>
      </c>
      <c r="F238" s="1" t="str">
        <f t="shared" si="6"/>
        <v>February</v>
      </c>
      <c r="G238" t="s">
        <v>6</v>
      </c>
      <c r="H238" t="s">
        <v>9</v>
      </c>
      <c r="I238" t="s">
        <v>3</v>
      </c>
      <c r="J238" t="str">
        <f t="shared" si="7"/>
        <v>Error: Should be None</v>
      </c>
      <c r="K238">
        <v>2</v>
      </c>
      <c r="L238" s="2">
        <v>414.4</v>
      </c>
      <c r="M238" t="s">
        <v>8</v>
      </c>
    </row>
    <row r="239" spans="1:13" x14ac:dyDescent="0.35">
      <c r="A239">
        <v>238</v>
      </c>
      <c r="B239">
        <v>15</v>
      </c>
      <c r="C239" t="str">
        <f>IF(Hospital[[#This Row],[Age]]&lt;=12,"Child",
IF(Hospital[[#This Row],[Age]]&lt;=19,"Teen",
IF(Hospital[[#This Row],[Age]]&lt;=35,"Young Adult",
IF(Hospital[[#This Row],[Age]]&lt;=59,"Adult",
"Senior"))))</f>
        <v>Teen</v>
      </c>
      <c r="D239" t="s">
        <v>5</v>
      </c>
      <c r="E239" s="1">
        <v>44959</v>
      </c>
      <c r="F239" s="1" t="str">
        <f t="shared" si="6"/>
        <v>February</v>
      </c>
      <c r="G239" t="s">
        <v>11</v>
      </c>
      <c r="H239" t="s">
        <v>9</v>
      </c>
      <c r="I239" t="s">
        <v>3</v>
      </c>
      <c r="J239" t="str">
        <f t="shared" si="7"/>
        <v>Error: Should be None</v>
      </c>
      <c r="K239">
        <v>7</v>
      </c>
      <c r="L239" s="2">
        <v>170.57</v>
      </c>
      <c r="M239" t="s">
        <v>8</v>
      </c>
    </row>
    <row r="240" spans="1:13" x14ac:dyDescent="0.35">
      <c r="A240">
        <v>239</v>
      </c>
      <c r="B240">
        <v>27</v>
      </c>
      <c r="C24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40" t="s">
        <v>0</v>
      </c>
      <c r="E240" s="1">
        <v>45349</v>
      </c>
      <c r="F240" s="1" t="str">
        <f t="shared" si="6"/>
        <v>February</v>
      </c>
      <c r="G240" t="s">
        <v>6</v>
      </c>
      <c r="H240" t="s">
        <v>7</v>
      </c>
      <c r="I240" t="s">
        <v>3</v>
      </c>
      <c r="J240" t="str">
        <f t="shared" si="7"/>
        <v>Error: Should be None</v>
      </c>
      <c r="K240">
        <v>0</v>
      </c>
      <c r="L240" s="2">
        <v>358.77</v>
      </c>
      <c r="M240" t="s">
        <v>8</v>
      </c>
    </row>
    <row r="241" spans="1:13" x14ac:dyDescent="0.35">
      <c r="A241">
        <v>240</v>
      </c>
      <c r="B241">
        <v>85</v>
      </c>
      <c r="C241" t="str">
        <f>IF(Hospital[[#This Row],[Age]]&lt;=12,"Child",
IF(Hospital[[#This Row],[Age]]&lt;=19,"Teen",
IF(Hospital[[#This Row],[Age]]&lt;=35,"Young Adult",
IF(Hospital[[#This Row],[Age]]&lt;=59,"Adult",
"Senior"))))</f>
        <v>Senior</v>
      </c>
      <c r="D241" t="s">
        <v>0</v>
      </c>
      <c r="E241" s="1">
        <v>45501</v>
      </c>
      <c r="F241" s="1" t="str">
        <f t="shared" si="6"/>
        <v>July</v>
      </c>
      <c r="G241" t="s">
        <v>6</v>
      </c>
      <c r="H241" t="s">
        <v>14</v>
      </c>
      <c r="I241" t="s">
        <v>18</v>
      </c>
      <c r="J241" t="str">
        <f t="shared" si="7"/>
        <v>Error: Should be None</v>
      </c>
      <c r="K241">
        <v>2</v>
      </c>
      <c r="L241" s="2">
        <v>240.64</v>
      </c>
      <c r="M241" t="s">
        <v>16</v>
      </c>
    </row>
    <row r="242" spans="1:13" x14ac:dyDescent="0.35">
      <c r="A242">
        <v>241</v>
      </c>
      <c r="B242">
        <v>83</v>
      </c>
      <c r="C242" t="str">
        <f>IF(Hospital[[#This Row],[Age]]&lt;=12,"Child",
IF(Hospital[[#This Row],[Age]]&lt;=19,"Teen",
IF(Hospital[[#This Row],[Age]]&lt;=35,"Young Adult",
IF(Hospital[[#This Row],[Age]]&lt;=59,"Adult",
"Senior"))))</f>
        <v>Senior</v>
      </c>
      <c r="D242" t="s">
        <v>0</v>
      </c>
      <c r="E242" s="1">
        <v>45486</v>
      </c>
      <c r="F242" s="1" t="str">
        <f t="shared" si="6"/>
        <v>July</v>
      </c>
      <c r="G242" t="s">
        <v>6</v>
      </c>
      <c r="H242" t="s">
        <v>14</v>
      </c>
      <c r="I242" t="s">
        <v>13</v>
      </c>
      <c r="J242" t="str">
        <f t="shared" si="7"/>
        <v>Error: Should be None</v>
      </c>
      <c r="K242">
        <v>3</v>
      </c>
      <c r="L242" s="2">
        <v>153.91999999999999</v>
      </c>
      <c r="M242" t="s">
        <v>16</v>
      </c>
    </row>
    <row r="243" spans="1:13" x14ac:dyDescent="0.35">
      <c r="A243">
        <v>242</v>
      </c>
      <c r="B243">
        <v>37</v>
      </c>
      <c r="C243" t="str">
        <f>IF(Hospital[[#This Row],[Age]]&lt;=12,"Child",
IF(Hospital[[#This Row],[Age]]&lt;=19,"Teen",
IF(Hospital[[#This Row],[Age]]&lt;=35,"Young Adult",
IF(Hospital[[#This Row],[Age]]&lt;=59,"Adult",
"Senior"))))</f>
        <v>Adult</v>
      </c>
      <c r="D243" t="s">
        <v>5</v>
      </c>
      <c r="E243" s="1">
        <v>45157</v>
      </c>
      <c r="F243" s="1" t="str">
        <f t="shared" si="6"/>
        <v>August</v>
      </c>
      <c r="G243" t="s">
        <v>6</v>
      </c>
      <c r="H243" t="s">
        <v>14</v>
      </c>
      <c r="I243" t="s">
        <v>18</v>
      </c>
      <c r="J243" t="str">
        <f t="shared" si="7"/>
        <v>Error: Should be None</v>
      </c>
      <c r="K243">
        <v>7</v>
      </c>
      <c r="L243" s="2">
        <v>187.43</v>
      </c>
      <c r="M243" t="s">
        <v>16</v>
      </c>
    </row>
    <row r="244" spans="1:13" x14ac:dyDescent="0.35">
      <c r="A244">
        <v>243</v>
      </c>
      <c r="B244">
        <v>74</v>
      </c>
      <c r="C244" t="str">
        <f>IF(Hospital[[#This Row],[Age]]&lt;=12,"Child",
IF(Hospital[[#This Row],[Age]]&lt;=19,"Teen",
IF(Hospital[[#This Row],[Age]]&lt;=35,"Young Adult",
IF(Hospital[[#This Row],[Age]]&lt;=59,"Adult",
"Senior"))))</f>
        <v>Senior</v>
      </c>
      <c r="D244" t="s">
        <v>0</v>
      </c>
      <c r="E244" s="1">
        <v>45221</v>
      </c>
      <c r="F244" s="1" t="str">
        <f t="shared" si="6"/>
        <v>October</v>
      </c>
      <c r="G244" t="s">
        <v>6</v>
      </c>
      <c r="H244" t="s">
        <v>2</v>
      </c>
      <c r="I244" t="s">
        <v>3</v>
      </c>
      <c r="J244" t="str">
        <f t="shared" si="7"/>
        <v>Error: Should be None</v>
      </c>
      <c r="K244">
        <v>5</v>
      </c>
      <c r="L244" s="2">
        <v>478.21</v>
      </c>
      <c r="M244" t="s">
        <v>8</v>
      </c>
    </row>
    <row r="245" spans="1:13" x14ac:dyDescent="0.35">
      <c r="A245">
        <v>244</v>
      </c>
      <c r="B245">
        <v>37</v>
      </c>
      <c r="C245" t="str">
        <f>IF(Hospital[[#This Row],[Age]]&lt;=12,"Child",
IF(Hospital[[#This Row],[Age]]&lt;=19,"Teen",
IF(Hospital[[#This Row],[Age]]&lt;=35,"Young Adult",
IF(Hospital[[#This Row],[Age]]&lt;=59,"Adult",
"Senior"))))</f>
        <v>Adult</v>
      </c>
      <c r="D245" t="s">
        <v>5</v>
      </c>
      <c r="E245" s="1">
        <v>45224</v>
      </c>
      <c r="F245" s="1" t="str">
        <f t="shared" si="6"/>
        <v>October</v>
      </c>
      <c r="G245" t="s">
        <v>19</v>
      </c>
      <c r="H245" t="s">
        <v>2</v>
      </c>
      <c r="I245" t="s">
        <v>3</v>
      </c>
      <c r="J245" t="str">
        <f t="shared" si="7"/>
        <v>Error: Should be None</v>
      </c>
      <c r="K245">
        <v>7</v>
      </c>
      <c r="L245" s="2">
        <v>334.87</v>
      </c>
      <c r="M245" t="s">
        <v>10</v>
      </c>
    </row>
    <row r="246" spans="1:13" x14ac:dyDescent="0.35">
      <c r="A246">
        <v>245</v>
      </c>
      <c r="B246">
        <v>69</v>
      </c>
      <c r="C246" t="str">
        <f>IF(Hospital[[#This Row],[Age]]&lt;=12,"Child",
IF(Hospital[[#This Row],[Age]]&lt;=19,"Teen",
IF(Hospital[[#This Row],[Age]]&lt;=35,"Young Adult",
IF(Hospital[[#This Row],[Age]]&lt;=59,"Adult",
"Senior"))))</f>
        <v>Senior</v>
      </c>
      <c r="D246" t="s">
        <v>0</v>
      </c>
      <c r="E246" s="1">
        <v>45146</v>
      </c>
      <c r="F246" s="1" t="str">
        <f t="shared" si="6"/>
        <v>August</v>
      </c>
      <c r="G246" t="s">
        <v>19</v>
      </c>
      <c r="H246" t="s">
        <v>17</v>
      </c>
      <c r="I246" t="s">
        <v>13</v>
      </c>
      <c r="J246" t="str">
        <f t="shared" si="7"/>
        <v>Error: Should be None</v>
      </c>
      <c r="K246">
        <v>1</v>
      </c>
      <c r="L246" s="2">
        <v>315.52</v>
      </c>
      <c r="M246" t="s">
        <v>8</v>
      </c>
    </row>
    <row r="247" spans="1:13" x14ac:dyDescent="0.35">
      <c r="A247">
        <v>246</v>
      </c>
      <c r="B247">
        <v>68</v>
      </c>
      <c r="C247" t="str">
        <f>IF(Hospital[[#This Row],[Age]]&lt;=12,"Child",
IF(Hospital[[#This Row],[Age]]&lt;=19,"Teen",
IF(Hospital[[#This Row],[Age]]&lt;=35,"Young Adult",
IF(Hospital[[#This Row],[Age]]&lt;=59,"Adult",
"Senior"))))</f>
        <v>Senior</v>
      </c>
      <c r="D247" t="s">
        <v>5</v>
      </c>
      <c r="E247" s="1">
        <v>45175</v>
      </c>
      <c r="F247" s="1" t="str">
        <f t="shared" si="6"/>
        <v>September</v>
      </c>
      <c r="G247" t="s">
        <v>1</v>
      </c>
      <c r="H247" t="s">
        <v>2</v>
      </c>
      <c r="I247" t="s">
        <v>3</v>
      </c>
      <c r="J247" t="str">
        <f t="shared" si="7"/>
        <v>Error: Should be None</v>
      </c>
      <c r="K247">
        <v>0</v>
      </c>
      <c r="L247" s="2">
        <v>68.099999999999994</v>
      </c>
      <c r="M247" t="s">
        <v>16</v>
      </c>
    </row>
    <row r="248" spans="1:13" x14ac:dyDescent="0.35">
      <c r="A248">
        <v>247</v>
      </c>
      <c r="B248">
        <v>18</v>
      </c>
      <c r="C248" t="str">
        <f>IF(Hospital[[#This Row],[Age]]&lt;=12,"Child",
IF(Hospital[[#This Row],[Age]]&lt;=19,"Teen",
IF(Hospital[[#This Row],[Age]]&lt;=35,"Young Adult",
IF(Hospital[[#This Row],[Age]]&lt;=59,"Adult",
"Senior"))))</f>
        <v>Teen</v>
      </c>
      <c r="D248" t="s">
        <v>5</v>
      </c>
      <c r="E248" s="1">
        <v>45410</v>
      </c>
      <c r="F248" s="1" t="str">
        <f t="shared" si="6"/>
        <v>April</v>
      </c>
      <c r="G248" t="s">
        <v>1</v>
      </c>
      <c r="H248" t="s">
        <v>2</v>
      </c>
      <c r="I248" t="s">
        <v>3</v>
      </c>
      <c r="J248" t="str">
        <f t="shared" si="7"/>
        <v>Error: Should be None</v>
      </c>
      <c r="K248">
        <v>6</v>
      </c>
      <c r="L248" s="2">
        <v>333.39</v>
      </c>
      <c r="M248" t="s">
        <v>10</v>
      </c>
    </row>
    <row r="249" spans="1:13" x14ac:dyDescent="0.35">
      <c r="A249">
        <v>248</v>
      </c>
      <c r="B249">
        <v>26</v>
      </c>
      <c r="C24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49" t="s">
        <v>0</v>
      </c>
      <c r="E249" s="1">
        <v>45415</v>
      </c>
      <c r="F249" s="1" t="str">
        <f t="shared" si="6"/>
        <v>May</v>
      </c>
      <c r="G249" t="s">
        <v>19</v>
      </c>
      <c r="H249" t="s">
        <v>7</v>
      </c>
      <c r="I249" t="s">
        <v>3</v>
      </c>
      <c r="J249" t="str">
        <f t="shared" si="7"/>
        <v>Error: Should be None</v>
      </c>
      <c r="K249">
        <v>4</v>
      </c>
      <c r="L249" s="2">
        <v>330.03</v>
      </c>
      <c r="M249" t="s">
        <v>4</v>
      </c>
    </row>
    <row r="250" spans="1:13" x14ac:dyDescent="0.35">
      <c r="A250">
        <v>249</v>
      </c>
      <c r="B250">
        <v>30</v>
      </c>
      <c r="C25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50" t="s">
        <v>5</v>
      </c>
      <c r="E250" s="1">
        <v>45594</v>
      </c>
      <c r="F250" s="1" t="str">
        <f t="shared" si="6"/>
        <v>October</v>
      </c>
      <c r="G250" t="s">
        <v>1</v>
      </c>
      <c r="H250" t="s">
        <v>9</v>
      </c>
      <c r="I250" t="s">
        <v>3</v>
      </c>
      <c r="J250" t="str">
        <f t="shared" si="7"/>
        <v>Error: Should be None</v>
      </c>
      <c r="K250">
        <v>6</v>
      </c>
      <c r="L250" s="2">
        <v>443.48</v>
      </c>
      <c r="M250" t="s">
        <v>8</v>
      </c>
    </row>
    <row r="251" spans="1:13" x14ac:dyDescent="0.35">
      <c r="A251">
        <v>250</v>
      </c>
      <c r="B251">
        <v>64</v>
      </c>
      <c r="C251" t="str">
        <f>IF(Hospital[[#This Row],[Age]]&lt;=12,"Child",
IF(Hospital[[#This Row],[Age]]&lt;=19,"Teen",
IF(Hospital[[#This Row],[Age]]&lt;=35,"Young Adult",
IF(Hospital[[#This Row],[Age]]&lt;=59,"Adult",
"Senior"))))</f>
        <v>Senior</v>
      </c>
      <c r="D251" t="s">
        <v>5</v>
      </c>
      <c r="E251" s="1">
        <v>44964</v>
      </c>
      <c r="F251" s="1" t="str">
        <f t="shared" si="6"/>
        <v>February</v>
      </c>
      <c r="G251" t="s">
        <v>19</v>
      </c>
      <c r="H251" t="s">
        <v>12</v>
      </c>
      <c r="I251" t="s">
        <v>15</v>
      </c>
      <c r="J251" t="str">
        <f t="shared" si="7"/>
        <v>Error: Should be None</v>
      </c>
      <c r="K251">
        <v>0</v>
      </c>
      <c r="L251" s="2">
        <v>163.22999999999999</v>
      </c>
      <c r="M251" t="s">
        <v>4</v>
      </c>
    </row>
    <row r="252" spans="1:13" x14ac:dyDescent="0.35">
      <c r="A252">
        <v>251</v>
      </c>
      <c r="B252">
        <v>59</v>
      </c>
      <c r="C252" t="str">
        <f>IF(Hospital[[#This Row],[Age]]&lt;=12,"Child",
IF(Hospital[[#This Row],[Age]]&lt;=19,"Teen",
IF(Hospital[[#This Row],[Age]]&lt;=35,"Young Adult",
IF(Hospital[[#This Row],[Age]]&lt;=59,"Adult",
"Senior"))))</f>
        <v>Adult</v>
      </c>
      <c r="D252" t="s">
        <v>0</v>
      </c>
      <c r="E252" s="1">
        <v>45270</v>
      </c>
      <c r="F252" s="1" t="str">
        <f t="shared" si="6"/>
        <v>December</v>
      </c>
      <c r="G252" t="s">
        <v>1</v>
      </c>
      <c r="H252" t="s">
        <v>14</v>
      </c>
      <c r="I252" t="s">
        <v>3</v>
      </c>
      <c r="J252" t="str">
        <f t="shared" si="7"/>
        <v>Error: Should be None</v>
      </c>
      <c r="K252">
        <v>7</v>
      </c>
      <c r="L252" s="2">
        <v>150.96</v>
      </c>
      <c r="M252" t="s">
        <v>4</v>
      </c>
    </row>
    <row r="253" spans="1:13" x14ac:dyDescent="0.35">
      <c r="A253">
        <v>252</v>
      </c>
      <c r="B253">
        <v>59</v>
      </c>
      <c r="C253" t="str">
        <f>IF(Hospital[[#This Row],[Age]]&lt;=12,"Child",
IF(Hospital[[#This Row],[Age]]&lt;=19,"Teen",
IF(Hospital[[#This Row],[Age]]&lt;=35,"Young Adult",
IF(Hospital[[#This Row],[Age]]&lt;=59,"Adult",
"Senior"))))</f>
        <v>Adult</v>
      </c>
      <c r="D253" t="s">
        <v>0</v>
      </c>
      <c r="E253" s="1">
        <v>45265</v>
      </c>
      <c r="F253" s="1" t="str">
        <f t="shared" si="6"/>
        <v>December</v>
      </c>
      <c r="G253" t="s">
        <v>1</v>
      </c>
      <c r="H253" t="s">
        <v>17</v>
      </c>
      <c r="I253" t="s">
        <v>15</v>
      </c>
      <c r="J253" t="str">
        <f t="shared" si="7"/>
        <v>Error: Should be None</v>
      </c>
      <c r="K253">
        <v>5</v>
      </c>
      <c r="L253" s="2">
        <v>399.57</v>
      </c>
      <c r="M253" t="s">
        <v>8</v>
      </c>
    </row>
    <row r="254" spans="1:13" x14ac:dyDescent="0.35">
      <c r="A254">
        <v>253</v>
      </c>
      <c r="B254">
        <v>82</v>
      </c>
      <c r="C254" t="str">
        <f>IF(Hospital[[#This Row],[Age]]&lt;=12,"Child",
IF(Hospital[[#This Row],[Age]]&lt;=19,"Teen",
IF(Hospital[[#This Row],[Age]]&lt;=35,"Young Adult",
IF(Hospital[[#This Row],[Age]]&lt;=59,"Adult",
"Senior"))))</f>
        <v>Senior</v>
      </c>
      <c r="D254" t="s">
        <v>0</v>
      </c>
      <c r="E254" s="1">
        <v>45106</v>
      </c>
      <c r="F254" s="1" t="str">
        <f t="shared" si="6"/>
        <v>June</v>
      </c>
      <c r="G254" t="s">
        <v>6</v>
      </c>
      <c r="H254" t="s">
        <v>9</v>
      </c>
      <c r="I254" t="s">
        <v>3</v>
      </c>
      <c r="J254" t="str">
        <f t="shared" si="7"/>
        <v>Error: Should be None</v>
      </c>
      <c r="K254">
        <v>8</v>
      </c>
      <c r="L254" s="2">
        <v>177.4</v>
      </c>
      <c r="M254" t="s">
        <v>10</v>
      </c>
    </row>
    <row r="255" spans="1:13" x14ac:dyDescent="0.35">
      <c r="A255">
        <v>254</v>
      </c>
      <c r="B255">
        <v>24</v>
      </c>
      <c r="C25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55" t="s">
        <v>5</v>
      </c>
      <c r="E255" s="1">
        <v>45612</v>
      </c>
      <c r="F255" s="1" t="str">
        <f t="shared" si="6"/>
        <v>November</v>
      </c>
      <c r="G255" t="s">
        <v>6</v>
      </c>
      <c r="H255" t="s">
        <v>2</v>
      </c>
      <c r="I255" t="s">
        <v>3</v>
      </c>
      <c r="J255" t="str">
        <f t="shared" si="7"/>
        <v>Error: Should be None</v>
      </c>
      <c r="K255">
        <v>5</v>
      </c>
      <c r="L255" s="2">
        <v>469.2</v>
      </c>
      <c r="M255" t="s">
        <v>4</v>
      </c>
    </row>
    <row r="256" spans="1:13" x14ac:dyDescent="0.35">
      <c r="A256">
        <v>255</v>
      </c>
      <c r="B256">
        <v>31</v>
      </c>
      <c r="C25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56" t="s">
        <v>0</v>
      </c>
      <c r="E256" s="1">
        <v>45194</v>
      </c>
      <c r="F256" s="1" t="str">
        <f t="shared" si="6"/>
        <v>September</v>
      </c>
      <c r="G256" t="s">
        <v>19</v>
      </c>
      <c r="H256" t="s">
        <v>12</v>
      </c>
      <c r="I256" t="s">
        <v>18</v>
      </c>
      <c r="J256" t="str">
        <f t="shared" si="7"/>
        <v>Error: Should be None</v>
      </c>
      <c r="K256">
        <v>4</v>
      </c>
      <c r="L256" s="2">
        <v>299.58</v>
      </c>
      <c r="M256" t="s">
        <v>4</v>
      </c>
    </row>
    <row r="257" spans="1:13" x14ac:dyDescent="0.35">
      <c r="A257">
        <v>256</v>
      </c>
      <c r="B257">
        <v>47</v>
      </c>
      <c r="C257" t="str">
        <f>IF(Hospital[[#This Row],[Age]]&lt;=12,"Child",
IF(Hospital[[#This Row],[Age]]&lt;=19,"Teen",
IF(Hospital[[#This Row],[Age]]&lt;=35,"Young Adult",
IF(Hospital[[#This Row],[Age]]&lt;=59,"Adult",
"Senior"))))</f>
        <v>Adult</v>
      </c>
      <c r="D257" t="s">
        <v>5</v>
      </c>
      <c r="E257" s="1">
        <v>45194</v>
      </c>
      <c r="F257" s="1" t="str">
        <f t="shared" si="6"/>
        <v>September</v>
      </c>
      <c r="G257" t="s">
        <v>11</v>
      </c>
      <c r="H257" t="s">
        <v>7</v>
      </c>
      <c r="I257" t="s">
        <v>3</v>
      </c>
      <c r="J257" t="str">
        <f t="shared" si="7"/>
        <v>Error: Should be None</v>
      </c>
      <c r="K257">
        <v>10</v>
      </c>
      <c r="L257" s="2">
        <v>76.75</v>
      </c>
      <c r="M257" t="s">
        <v>16</v>
      </c>
    </row>
    <row r="258" spans="1:13" x14ac:dyDescent="0.35">
      <c r="A258">
        <v>257</v>
      </c>
      <c r="B258">
        <v>65</v>
      </c>
      <c r="C258" t="str">
        <f>IF(Hospital[[#This Row],[Age]]&lt;=12,"Child",
IF(Hospital[[#This Row],[Age]]&lt;=19,"Teen",
IF(Hospital[[#This Row],[Age]]&lt;=35,"Young Adult",
IF(Hospital[[#This Row],[Age]]&lt;=59,"Adult",
"Senior"))))</f>
        <v>Senior</v>
      </c>
      <c r="D258" t="s">
        <v>0</v>
      </c>
      <c r="E258" s="1">
        <v>45090</v>
      </c>
      <c r="F258" s="1" t="str">
        <f t="shared" si="6"/>
        <v>June</v>
      </c>
      <c r="G258" t="s">
        <v>11</v>
      </c>
      <c r="H258" t="s">
        <v>12</v>
      </c>
      <c r="I258" t="s">
        <v>18</v>
      </c>
      <c r="J258" t="str">
        <f t="shared" si="7"/>
        <v>Error: Should be None</v>
      </c>
      <c r="K258">
        <v>5</v>
      </c>
      <c r="L258" s="2">
        <v>315.02</v>
      </c>
      <c r="M258" t="s">
        <v>8</v>
      </c>
    </row>
    <row r="259" spans="1:13" x14ac:dyDescent="0.35">
      <c r="A259">
        <v>258</v>
      </c>
      <c r="B259">
        <v>20</v>
      </c>
      <c r="C25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59" t="s">
        <v>0</v>
      </c>
      <c r="E259" s="1">
        <v>45063</v>
      </c>
      <c r="F259" s="1" t="str">
        <f t="shared" ref="F259:F322" si="8">TEXT(E259, "mmmm")</f>
        <v>May</v>
      </c>
      <c r="G259" t="s">
        <v>19</v>
      </c>
      <c r="H259" t="s">
        <v>12</v>
      </c>
      <c r="I259" t="s">
        <v>20</v>
      </c>
      <c r="J259" t="str">
        <f t="shared" ref="J259:J322" si="9">IF(OR(G259="UTI", G259="Pneumonia", G259="Typhoid"),
   IF(H259="None","Error: Should have antibiotics","OK"),
   IF(H259&lt;&gt;"None","Error: Should be None","OK"))</f>
        <v>Error: Should be None</v>
      </c>
      <c r="K259">
        <v>8</v>
      </c>
      <c r="L259" s="2">
        <v>458.14</v>
      </c>
      <c r="M259" t="s">
        <v>8</v>
      </c>
    </row>
    <row r="260" spans="1:13" x14ac:dyDescent="0.35">
      <c r="A260">
        <v>259</v>
      </c>
      <c r="B260">
        <v>77</v>
      </c>
      <c r="C260" t="str">
        <f>IF(Hospital[[#This Row],[Age]]&lt;=12,"Child",
IF(Hospital[[#This Row],[Age]]&lt;=19,"Teen",
IF(Hospital[[#This Row],[Age]]&lt;=35,"Young Adult",
IF(Hospital[[#This Row],[Age]]&lt;=59,"Adult",
"Senior"))))</f>
        <v>Senior</v>
      </c>
      <c r="D260" t="s">
        <v>5</v>
      </c>
      <c r="E260" s="1">
        <v>45180</v>
      </c>
      <c r="F260" s="1" t="str">
        <f t="shared" si="8"/>
        <v>September</v>
      </c>
      <c r="G260" t="s">
        <v>6</v>
      </c>
      <c r="H260" t="s">
        <v>7</v>
      </c>
      <c r="I260" t="s">
        <v>3</v>
      </c>
      <c r="J260" t="str">
        <f t="shared" si="9"/>
        <v>Error: Should be None</v>
      </c>
      <c r="K260">
        <v>8</v>
      </c>
      <c r="L260" s="2">
        <v>357.81</v>
      </c>
      <c r="M260" t="s">
        <v>4</v>
      </c>
    </row>
    <row r="261" spans="1:13" x14ac:dyDescent="0.35">
      <c r="A261">
        <v>260</v>
      </c>
      <c r="B261">
        <v>8</v>
      </c>
      <c r="C261" t="str">
        <f>IF(Hospital[[#This Row],[Age]]&lt;=12,"Child",
IF(Hospital[[#This Row],[Age]]&lt;=19,"Teen",
IF(Hospital[[#This Row],[Age]]&lt;=35,"Young Adult",
IF(Hospital[[#This Row],[Age]]&lt;=59,"Adult",
"Senior"))))</f>
        <v>Child</v>
      </c>
      <c r="D261" t="s">
        <v>5</v>
      </c>
      <c r="E261" s="1">
        <v>45504</v>
      </c>
      <c r="F261" s="1" t="str">
        <f t="shared" si="8"/>
        <v>July</v>
      </c>
      <c r="G261" t="s">
        <v>1</v>
      </c>
      <c r="H261" t="s">
        <v>2</v>
      </c>
      <c r="I261" t="s">
        <v>3</v>
      </c>
      <c r="J261" t="str">
        <f t="shared" si="9"/>
        <v>Error: Should be None</v>
      </c>
      <c r="K261">
        <v>2</v>
      </c>
      <c r="L261" s="2">
        <v>177.5</v>
      </c>
      <c r="M261" t="s">
        <v>10</v>
      </c>
    </row>
    <row r="262" spans="1:13" x14ac:dyDescent="0.35">
      <c r="A262">
        <v>261</v>
      </c>
      <c r="B262">
        <v>27</v>
      </c>
      <c r="C26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62" t="s">
        <v>0</v>
      </c>
      <c r="E262" s="1">
        <v>45046</v>
      </c>
      <c r="F262" s="1" t="str">
        <f t="shared" si="8"/>
        <v>April</v>
      </c>
      <c r="G262" t="s">
        <v>11</v>
      </c>
      <c r="H262" t="s">
        <v>7</v>
      </c>
      <c r="I262" t="s">
        <v>3</v>
      </c>
      <c r="J262" t="str">
        <f t="shared" si="9"/>
        <v>Error: Should be None</v>
      </c>
      <c r="K262">
        <v>8</v>
      </c>
      <c r="L262" s="2">
        <v>233.83</v>
      </c>
      <c r="M262" t="s">
        <v>4</v>
      </c>
    </row>
    <row r="263" spans="1:13" x14ac:dyDescent="0.35">
      <c r="A263">
        <v>262</v>
      </c>
      <c r="B263">
        <v>66</v>
      </c>
      <c r="C263" t="str">
        <f>IF(Hospital[[#This Row],[Age]]&lt;=12,"Child",
IF(Hospital[[#This Row],[Age]]&lt;=19,"Teen",
IF(Hospital[[#This Row],[Age]]&lt;=35,"Young Adult",
IF(Hospital[[#This Row],[Age]]&lt;=59,"Adult",
"Senior"))))</f>
        <v>Senior</v>
      </c>
      <c r="D263" t="s">
        <v>0</v>
      </c>
      <c r="E263" s="1">
        <v>45391</v>
      </c>
      <c r="F263" s="1" t="str">
        <f t="shared" si="8"/>
        <v>April</v>
      </c>
      <c r="G263" t="s">
        <v>6</v>
      </c>
      <c r="H263" t="s">
        <v>17</v>
      </c>
      <c r="I263" t="s">
        <v>3</v>
      </c>
      <c r="J263" t="str">
        <f t="shared" si="9"/>
        <v>Error: Should be None</v>
      </c>
      <c r="K263">
        <v>0</v>
      </c>
      <c r="L263" s="2">
        <v>288.22000000000003</v>
      </c>
      <c r="M263" t="s">
        <v>16</v>
      </c>
    </row>
    <row r="264" spans="1:13" x14ac:dyDescent="0.35">
      <c r="A264">
        <v>263</v>
      </c>
      <c r="B264">
        <v>33</v>
      </c>
      <c r="C26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64" t="s">
        <v>5</v>
      </c>
      <c r="E264" s="1">
        <v>44949</v>
      </c>
      <c r="F264" s="1" t="str">
        <f t="shared" si="8"/>
        <v>January</v>
      </c>
      <c r="G264" t="s">
        <v>1</v>
      </c>
      <c r="H264" t="s">
        <v>12</v>
      </c>
      <c r="I264" t="s">
        <v>3</v>
      </c>
      <c r="J264" t="str">
        <f t="shared" si="9"/>
        <v>Error: Should be None</v>
      </c>
      <c r="K264">
        <v>1</v>
      </c>
      <c r="L264" s="2">
        <v>41.74</v>
      </c>
      <c r="M264" t="s">
        <v>16</v>
      </c>
    </row>
    <row r="265" spans="1:13" x14ac:dyDescent="0.35">
      <c r="A265">
        <v>264</v>
      </c>
      <c r="B265">
        <v>70</v>
      </c>
      <c r="C265" t="str">
        <f>IF(Hospital[[#This Row],[Age]]&lt;=12,"Child",
IF(Hospital[[#This Row],[Age]]&lt;=19,"Teen",
IF(Hospital[[#This Row],[Age]]&lt;=35,"Young Adult",
IF(Hospital[[#This Row],[Age]]&lt;=59,"Adult",
"Senior"))))</f>
        <v>Senior</v>
      </c>
      <c r="D265" t="s">
        <v>5</v>
      </c>
      <c r="E265" s="1">
        <v>45644</v>
      </c>
      <c r="F265" s="1" t="str">
        <f t="shared" si="8"/>
        <v>December</v>
      </c>
      <c r="G265" t="s">
        <v>11</v>
      </c>
      <c r="H265" t="s">
        <v>2</v>
      </c>
      <c r="I265" t="s">
        <v>3</v>
      </c>
      <c r="J265" t="str">
        <f t="shared" si="9"/>
        <v>Error: Should be None</v>
      </c>
      <c r="K265">
        <v>7</v>
      </c>
      <c r="L265" s="2">
        <v>35.229999999999997</v>
      </c>
      <c r="M265" t="s">
        <v>10</v>
      </c>
    </row>
    <row r="266" spans="1:13" x14ac:dyDescent="0.35">
      <c r="A266">
        <v>265</v>
      </c>
      <c r="B266">
        <v>83</v>
      </c>
      <c r="C266" t="str">
        <f>IF(Hospital[[#This Row],[Age]]&lt;=12,"Child",
IF(Hospital[[#This Row],[Age]]&lt;=19,"Teen",
IF(Hospital[[#This Row],[Age]]&lt;=35,"Young Adult",
IF(Hospital[[#This Row],[Age]]&lt;=59,"Adult",
"Senior"))))</f>
        <v>Senior</v>
      </c>
      <c r="D266" t="s">
        <v>0</v>
      </c>
      <c r="E266" s="1">
        <v>45111</v>
      </c>
      <c r="F266" s="1" t="str">
        <f t="shared" si="8"/>
        <v>July</v>
      </c>
      <c r="G266" t="s">
        <v>19</v>
      </c>
      <c r="H266" t="s">
        <v>17</v>
      </c>
      <c r="I266" t="s">
        <v>20</v>
      </c>
      <c r="J266" t="str">
        <f t="shared" si="9"/>
        <v>Error: Should be None</v>
      </c>
      <c r="K266">
        <v>7</v>
      </c>
      <c r="L266" s="2">
        <v>437.42</v>
      </c>
      <c r="M266" t="s">
        <v>10</v>
      </c>
    </row>
    <row r="267" spans="1:13" x14ac:dyDescent="0.35">
      <c r="A267">
        <v>266</v>
      </c>
      <c r="B267">
        <v>85</v>
      </c>
      <c r="C267" t="str">
        <f>IF(Hospital[[#This Row],[Age]]&lt;=12,"Child",
IF(Hospital[[#This Row],[Age]]&lt;=19,"Teen",
IF(Hospital[[#This Row],[Age]]&lt;=35,"Young Adult",
IF(Hospital[[#This Row],[Age]]&lt;=59,"Adult",
"Senior"))))</f>
        <v>Senior</v>
      </c>
      <c r="D267" t="s">
        <v>5</v>
      </c>
      <c r="E267" s="1">
        <v>45311</v>
      </c>
      <c r="F267" s="1" t="str">
        <f t="shared" si="8"/>
        <v>January</v>
      </c>
      <c r="G267" t="s">
        <v>19</v>
      </c>
      <c r="H267" t="s">
        <v>2</v>
      </c>
      <c r="I267" t="s">
        <v>3</v>
      </c>
      <c r="J267" t="str">
        <f t="shared" si="9"/>
        <v>Error: Should be None</v>
      </c>
      <c r="K267">
        <v>1</v>
      </c>
      <c r="L267" s="2">
        <v>105.67</v>
      </c>
      <c r="M267" t="s">
        <v>10</v>
      </c>
    </row>
    <row r="268" spans="1:13" x14ac:dyDescent="0.35">
      <c r="A268">
        <v>267</v>
      </c>
      <c r="B268">
        <v>29</v>
      </c>
      <c r="C26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68" t="s">
        <v>5</v>
      </c>
      <c r="E268" s="1">
        <v>45468</v>
      </c>
      <c r="F268" s="1" t="str">
        <f t="shared" si="8"/>
        <v>June</v>
      </c>
      <c r="G268" t="s">
        <v>11</v>
      </c>
      <c r="H268" t="s">
        <v>17</v>
      </c>
      <c r="I268" t="s">
        <v>18</v>
      </c>
      <c r="J268" t="str">
        <f t="shared" si="9"/>
        <v>Error: Should be None</v>
      </c>
      <c r="K268">
        <v>7</v>
      </c>
      <c r="L268" s="2">
        <v>343.28</v>
      </c>
      <c r="M268" t="s">
        <v>10</v>
      </c>
    </row>
    <row r="269" spans="1:13" x14ac:dyDescent="0.35">
      <c r="A269">
        <v>268</v>
      </c>
      <c r="B269">
        <v>30</v>
      </c>
      <c r="C26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69" t="s">
        <v>5</v>
      </c>
      <c r="E269" s="1">
        <v>45471</v>
      </c>
      <c r="F269" s="1" t="str">
        <f t="shared" si="8"/>
        <v>June</v>
      </c>
      <c r="G269" t="s">
        <v>6</v>
      </c>
      <c r="H269" t="s">
        <v>12</v>
      </c>
      <c r="I269" t="s">
        <v>18</v>
      </c>
      <c r="J269" t="str">
        <f t="shared" si="9"/>
        <v>Error: Should be None</v>
      </c>
      <c r="K269">
        <v>2</v>
      </c>
      <c r="L269" s="2">
        <v>152.31</v>
      </c>
      <c r="M269" t="s">
        <v>4</v>
      </c>
    </row>
    <row r="270" spans="1:13" x14ac:dyDescent="0.35">
      <c r="A270">
        <v>269</v>
      </c>
      <c r="B270">
        <v>54</v>
      </c>
      <c r="C270" t="str">
        <f>IF(Hospital[[#This Row],[Age]]&lt;=12,"Child",
IF(Hospital[[#This Row],[Age]]&lt;=19,"Teen",
IF(Hospital[[#This Row],[Age]]&lt;=35,"Young Adult",
IF(Hospital[[#This Row],[Age]]&lt;=59,"Adult",
"Senior"))))</f>
        <v>Adult</v>
      </c>
      <c r="D270" t="s">
        <v>5</v>
      </c>
      <c r="E270" s="1">
        <v>44959</v>
      </c>
      <c r="F270" s="1" t="str">
        <f t="shared" si="8"/>
        <v>February</v>
      </c>
      <c r="G270" t="s">
        <v>1</v>
      </c>
      <c r="H270" t="s">
        <v>7</v>
      </c>
      <c r="I270" t="s">
        <v>3</v>
      </c>
      <c r="J270" t="str">
        <f t="shared" si="9"/>
        <v>Error: Should be None</v>
      </c>
      <c r="K270">
        <v>3</v>
      </c>
      <c r="L270" s="2">
        <v>52.3</v>
      </c>
      <c r="M270" t="s">
        <v>4</v>
      </c>
    </row>
    <row r="271" spans="1:13" x14ac:dyDescent="0.35">
      <c r="A271">
        <v>270</v>
      </c>
      <c r="B271">
        <v>7</v>
      </c>
      <c r="C271" t="str">
        <f>IF(Hospital[[#This Row],[Age]]&lt;=12,"Child",
IF(Hospital[[#This Row],[Age]]&lt;=19,"Teen",
IF(Hospital[[#This Row],[Age]]&lt;=35,"Young Adult",
IF(Hospital[[#This Row],[Age]]&lt;=59,"Adult",
"Senior"))))</f>
        <v>Child</v>
      </c>
      <c r="D271" t="s">
        <v>5</v>
      </c>
      <c r="E271" s="1">
        <v>45384</v>
      </c>
      <c r="F271" s="1" t="str">
        <f t="shared" si="8"/>
        <v>April</v>
      </c>
      <c r="G271" t="s">
        <v>11</v>
      </c>
      <c r="H271" t="s">
        <v>9</v>
      </c>
      <c r="I271" t="s">
        <v>3</v>
      </c>
      <c r="J271" t="str">
        <f t="shared" si="9"/>
        <v>Error: Should be None</v>
      </c>
      <c r="K271">
        <v>6</v>
      </c>
      <c r="L271" s="2">
        <v>230.7</v>
      </c>
      <c r="M271" t="s">
        <v>8</v>
      </c>
    </row>
    <row r="272" spans="1:13" x14ac:dyDescent="0.35">
      <c r="A272">
        <v>271</v>
      </c>
      <c r="B272">
        <v>65</v>
      </c>
      <c r="C272" t="str">
        <f>IF(Hospital[[#This Row],[Age]]&lt;=12,"Child",
IF(Hospital[[#This Row],[Age]]&lt;=19,"Teen",
IF(Hospital[[#This Row],[Age]]&lt;=35,"Young Adult",
IF(Hospital[[#This Row],[Age]]&lt;=59,"Adult",
"Senior"))))</f>
        <v>Senior</v>
      </c>
      <c r="D272" t="s">
        <v>0</v>
      </c>
      <c r="E272" s="1">
        <v>44984</v>
      </c>
      <c r="F272" s="1" t="str">
        <f t="shared" si="8"/>
        <v>February</v>
      </c>
      <c r="G272" t="s">
        <v>1</v>
      </c>
      <c r="H272" t="s">
        <v>17</v>
      </c>
      <c r="I272" t="s">
        <v>3</v>
      </c>
      <c r="J272" t="str">
        <f t="shared" si="9"/>
        <v>Error: Should be None</v>
      </c>
      <c r="K272">
        <v>5</v>
      </c>
      <c r="L272" s="2">
        <v>297.19</v>
      </c>
      <c r="M272" t="s">
        <v>16</v>
      </c>
    </row>
    <row r="273" spans="1:13" x14ac:dyDescent="0.35">
      <c r="A273">
        <v>272</v>
      </c>
      <c r="B273">
        <v>19</v>
      </c>
      <c r="C273" t="str">
        <f>IF(Hospital[[#This Row],[Age]]&lt;=12,"Child",
IF(Hospital[[#This Row],[Age]]&lt;=19,"Teen",
IF(Hospital[[#This Row],[Age]]&lt;=35,"Young Adult",
IF(Hospital[[#This Row],[Age]]&lt;=59,"Adult",
"Senior"))))</f>
        <v>Teen</v>
      </c>
      <c r="D273" t="s">
        <v>5</v>
      </c>
      <c r="E273" s="1">
        <v>45169</v>
      </c>
      <c r="F273" s="1" t="str">
        <f t="shared" si="8"/>
        <v>August</v>
      </c>
      <c r="G273" t="s">
        <v>6</v>
      </c>
      <c r="H273" t="s">
        <v>14</v>
      </c>
      <c r="I273" t="s">
        <v>18</v>
      </c>
      <c r="J273" t="str">
        <f t="shared" si="9"/>
        <v>Error: Should be None</v>
      </c>
      <c r="K273">
        <v>4</v>
      </c>
      <c r="L273" s="2">
        <v>49.26</v>
      </c>
      <c r="M273" t="s">
        <v>8</v>
      </c>
    </row>
    <row r="274" spans="1:13" x14ac:dyDescent="0.35">
      <c r="A274">
        <v>273</v>
      </c>
      <c r="B274">
        <v>55</v>
      </c>
      <c r="C274" t="str">
        <f>IF(Hospital[[#This Row],[Age]]&lt;=12,"Child",
IF(Hospital[[#This Row],[Age]]&lt;=19,"Teen",
IF(Hospital[[#This Row],[Age]]&lt;=35,"Young Adult",
IF(Hospital[[#This Row],[Age]]&lt;=59,"Adult",
"Senior"))))</f>
        <v>Adult</v>
      </c>
      <c r="D274" t="s">
        <v>0</v>
      </c>
      <c r="E274" s="1">
        <v>45568</v>
      </c>
      <c r="F274" s="1" t="str">
        <f t="shared" si="8"/>
        <v>October</v>
      </c>
      <c r="G274" t="s">
        <v>11</v>
      </c>
      <c r="H274" t="s">
        <v>7</v>
      </c>
      <c r="I274" t="s">
        <v>3</v>
      </c>
      <c r="J274" t="str">
        <f t="shared" si="9"/>
        <v>Error: Should be None</v>
      </c>
      <c r="K274">
        <v>5</v>
      </c>
      <c r="L274" s="2">
        <v>471.96</v>
      </c>
      <c r="M274" t="s">
        <v>10</v>
      </c>
    </row>
    <row r="275" spans="1:13" x14ac:dyDescent="0.35">
      <c r="A275">
        <v>274</v>
      </c>
      <c r="B275">
        <v>54</v>
      </c>
      <c r="C275" t="str">
        <f>IF(Hospital[[#This Row],[Age]]&lt;=12,"Child",
IF(Hospital[[#This Row],[Age]]&lt;=19,"Teen",
IF(Hospital[[#This Row],[Age]]&lt;=35,"Young Adult",
IF(Hospital[[#This Row],[Age]]&lt;=59,"Adult",
"Senior"))))</f>
        <v>Adult</v>
      </c>
      <c r="D275" t="s">
        <v>0</v>
      </c>
      <c r="E275" s="1">
        <v>45464</v>
      </c>
      <c r="F275" s="1" t="str">
        <f t="shared" si="8"/>
        <v>June</v>
      </c>
      <c r="G275" t="s">
        <v>1</v>
      </c>
      <c r="H275" t="s">
        <v>14</v>
      </c>
      <c r="I275" t="s">
        <v>18</v>
      </c>
      <c r="J275" t="str">
        <f t="shared" si="9"/>
        <v>Error: Should be None</v>
      </c>
      <c r="K275">
        <v>6</v>
      </c>
      <c r="L275" s="2">
        <v>108.26</v>
      </c>
      <c r="M275" t="s">
        <v>10</v>
      </c>
    </row>
    <row r="276" spans="1:13" x14ac:dyDescent="0.35">
      <c r="A276">
        <v>275</v>
      </c>
      <c r="B276">
        <v>39</v>
      </c>
      <c r="C276" t="str">
        <f>IF(Hospital[[#This Row],[Age]]&lt;=12,"Child",
IF(Hospital[[#This Row],[Age]]&lt;=19,"Teen",
IF(Hospital[[#This Row],[Age]]&lt;=35,"Young Adult",
IF(Hospital[[#This Row],[Age]]&lt;=59,"Adult",
"Senior"))))</f>
        <v>Adult</v>
      </c>
      <c r="D276" t="s">
        <v>5</v>
      </c>
      <c r="E276" s="1">
        <v>45173</v>
      </c>
      <c r="F276" s="1" t="str">
        <f t="shared" si="8"/>
        <v>September</v>
      </c>
      <c r="G276" t="s">
        <v>6</v>
      </c>
      <c r="H276" t="s">
        <v>17</v>
      </c>
      <c r="I276" t="s">
        <v>15</v>
      </c>
      <c r="J276" t="str">
        <f t="shared" si="9"/>
        <v>Error: Should be None</v>
      </c>
      <c r="K276">
        <v>8</v>
      </c>
      <c r="L276" s="2">
        <v>218.09</v>
      </c>
      <c r="M276" t="s">
        <v>10</v>
      </c>
    </row>
    <row r="277" spans="1:13" x14ac:dyDescent="0.35">
      <c r="A277">
        <v>276</v>
      </c>
      <c r="B277">
        <v>18</v>
      </c>
      <c r="C277" t="str">
        <f>IF(Hospital[[#This Row],[Age]]&lt;=12,"Child",
IF(Hospital[[#This Row],[Age]]&lt;=19,"Teen",
IF(Hospital[[#This Row],[Age]]&lt;=35,"Young Adult",
IF(Hospital[[#This Row],[Age]]&lt;=59,"Adult",
"Senior"))))</f>
        <v>Teen</v>
      </c>
      <c r="D277" t="s">
        <v>0</v>
      </c>
      <c r="E277" s="1">
        <v>45497</v>
      </c>
      <c r="F277" s="1" t="str">
        <f t="shared" si="8"/>
        <v>July</v>
      </c>
      <c r="G277" t="s">
        <v>1</v>
      </c>
      <c r="H277" t="s">
        <v>9</v>
      </c>
      <c r="I277" t="s">
        <v>3</v>
      </c>
      <c r="J277" t="str">
        <f t="shared" si="9"/>
        <v>Error: Should be None</v>
      </c>
      <c r="K277">
        <v>4</v>
      </c>
      <c r="L277" s="2">
        <v>117.6</v>
      </c>
      <c r="M277" t="s">
        <v>4</v>
      </c>
    </row>
    <row r="278" spans="1:13" x14ac:dyDescent="0.35">
      <c r="A278">
        <v>277</v>
      </c>
      <c r="B278">
        <v>12</v>
      </c>
      <c r="C278" t="str">
        <f>IF(Hospital[[#This Row],[Age]]&lt;=12,"Child",
IF(Hospital[[#This Row],[Age]]&lt;=19,"Teen",
IF(Hospital[[#This Row],[Age]]&lt;=35,"Young Adult",
IF(Hospital[[#This Row],[Age]]&lt;=59,"Adult",
"Senior"))))</f>
        <v>Child</v>
      </c>
      <c r="D278" t="s">
        <v>5</v>
      </c>
      <c r="E278" s="1">
        <v>45387</v>
      </c>
      <c r="F278" s="1" t="str">
        <f t="shared" si="8"/>
        <v>April</v>
      </c>
      <c r="G278" t="s">
        <v>11</v>
      </c>
      <c r="H278" t="s">
        <v>14</v>
      </c>
      <c r="I278" t="s">
        <v>18</v>
      </c>
      <c r="J278" t="str">
        <f t="shared" si="9"/>
        <v>Error: Should be None</v>
      </c>
      <c r="K278">
        <v>6</v>
      </c>
      <c r="L278" s="2">
        <v>343.36</v>
      </c>
      <c r="M278" t="s">
        <v>4</v>
      </c>
    </row>
    <row r="279" spans="1:13" x14ac:dyDescent="0.35">
      <c r="A279">
        <v>278</v>
      </c>
      <c r="B279">
        <v>76</v>
      </c>
      <c r="C279" t="str">
        <f>IF(Hospital[[#This Row],[Age]]&lt;=12,"Child",
IF(Hospital[[#This Row],[Age]]&lt;=19,"Teen",
IF(Hospital[[#This Row],[Age]]&lt;=35,"Young Adult",
IF(Hospital[[#This Row],[Age]]&lt;=59,"Adult",
"Senior"))))</f>
        <v>Senior</v>
      </c>
      <c r="D279" t="s">
        <v>5</v>
      </c>
      <c r="E279" s="1">
        <v>45001</v>
      </c>
      <c r="F279" s="1" t="str">
        <f t="shared" si="8"/>
        <v>March</v>
      </c>
      <c r="G279" t="s">
        <v>6</v>
      </c>
      <c r="H279" t="s">
        <v>17</v>
      </c>
      <c r="I279" t="s">
        <v>13</v>
      </c>
      <c r="J279" t="str">
        <f t="shared" si="9"/>
        <v>Error: Should be None</v>
      </c>
      <c r="K279">
        <v>5</v>
      </c>
      <c r="L279" s="2">
        <v>165.53</v>
      </c>
      <c r="M279" t="s">
        <v>4</v>
      </c>
    </row>
    <row r="280" spans="1:13" x14ac:dyDescent="0.35">
      <c r="A280">
        <v>279</v>
      </c>
      <c r="B280">
        <v>16</v>
      </c>
      <c r="C280" t="str">
        <f>IF(Hospital[[#This Row],[Age]]&lt;=12,"Child",
IF(Hospital[[#This Row],[Age]]&lt;=19,"Teen",
IF(Hospital[[#This Row],[Age]]&lt;=35,"Young Adult",
IF(Hospital[[#This Row],[Age]]&lt;=59,"Adult",
"Senior"))))</f>
        <v>Teen</v>
      </c>
      <c r="D280" t="s">
        <v>0</v>
      </c>
      <c r="E280" s="1">
        <v>45143</v>
      </c>
      <c r="F280" s="1" t="str">
        <f t="shared" si="8"/>
        <v>August</v>
      </c>
      <c r="G280" t="s">
        <v>1</v>
      </c>
      <c r="H280" t="s">
        <v>17</v>
      </c>
      <c r="I280" t="s">
        <v>3</v>
      </c>
      <c r="J280" t="str">
        <f t="shared" si="9"/>
        <v>Error: Should be None</v>
      </c>
      <c r="K280">
        <v>3</v>
      </c>
      <c r="L280" s="2">
        <v>210.38</v>
      </c>
      <c r="M280" t="s">
        <v>8</v>
      </c>
    </row>
    <row r="281" spans="1:13" x14ac:dyDescent="0.35">
      <c r="A281">
        <v>280</v>
      </c>
      <c r="B281">
        <v>37</v>
      </c>
      <c r="C281" t="str">
        <f>IF(Hospital[[#This Row],[Age]]&lt;=12,"Child",
IF(Hospital[[#This Row],[Age]]&lt;=19,"Teen",
IF(Hospital[[#This Row],[Age]]&lt;=35,"Young Adult",
IF(Hospital[[#This Row],[Age]]&lt;=59,"Adult",
"Senior"))))</f>
        <v>Adult</v>
      </c>
      <c r="D281" t="s">
        <v>0</v>
      </c>
      <c r="E281" s="1">
        <v>45492</v>
      </c>
      <c r="F281" s="1" t="str">
        <f t="shared" si="8"/>
        <v>July</v>
      </c>
      <c r="G281" t="s">
        <v>6</v>
      </c>
      <c r="H281" t="s">
        <v>14</v>
      </c>
      <c r="I281" t="s">
        <v>3</v>
      </c>
      <c r="J281" t="str">
        <f t="shared" si="9"/>
        <v>Error: Should be None</v>
      </c>
      <c r="K281">
        <v>10</v>
      </c>
      <c r="L281" s="2">
        <v>192.44</v>
      </c>
      <c r="M281" t="s">
        <v>16</v>
      </c>
    </row>
    <row r="282" spans="1:13" x14ac:dyDescent="0.35">
      <c r="A282">
        <v>281</v>
      </c>
      <c r="B282">
        <v>64</v>
      </c>
      <c r="C282" t="str">
        <f>IF(Hospital[[#This Row],[Age]]&lt;=12,"Child",
IF(Hospital[[#This Row],[Age]]&lt;=19,"Teen",
IF(Hospital[[#This Row],[Age]]&lt;=35,"Young Adult",
IF(Hospital[[#This Row],[Age]]&lt;=59,"Adult",
"Senior"))))</f>
        <v>Senior</v>
      </c>
      <c r="D282" t="s">
        <v>0</v>
      </c>
      <c r="E282" s="1">
        <v>45295</v>
      </c>
      <c r="F282" s="1" t="str">
        <f t="shared" si="8"/>
        <v>January</v>
      </c>
      <c r="G282" t="s">
        <v>11</v>
      </c>
      <c r="H282" t="s">
        <v>9</v>
      </c>
      <c r="I282" t="s">
        <v>3</v>
      </c>
      <c r="J282" t="str">
        <f t="shared" si="9"/>
        <v>Error: Should be None</v>
      </c>
      <c r="K282">
        <v>7</v>
      </c>
      <c r="L282" s="2">
        <v>385.58</v>
      </c>
      <c r="M282" t="s">
        <v>16</v>
      </c>
    </row>
    <row r="283" spans="1:13" x14ac:dyDescent="0.35">
      <c r="A283">
        <v>282</v>
      </c>
      <c r="B283">
        <v>41</v>
      </c>
      <c r="C283" t="str">
        <f>IF(Hospital[[#This Row],[Age]]&lt;=12,"Child",
IF(Hospital[[#This Row],[Age]]&lt;=19,"Teen",
IF(Hospital[[#This Row],[Age]]&lt;=35,"Young Adult",
IF(Hospital[[#This Row],[Age]]&lt;=59,"Adult",
"Senior"))))</f>
        <v>Adult</v>
      </c>
      <c r="D283" t="s">
        <v>0</v>
      </c>
      <c r="E283" s="1">
        <v>45135</v>
      </c>
      <c r="F283" s="1" t="str">
        <f t="shared" si="8"/>
        <v>July</v>
      </c>
      <c r="G283" t="s">
        <v>11</v>
      </c>
      <c r="H283" t="s">
        <v>14</v>
      </c>
      <c r="I283" t="s">
        <v>3</v>
      </c>
      <c r="J283" t="str">
        <f t="shared" si="9"/>
        <v>Error: Should be None</v>
      </c>
      <c r="K283">
        <v>3</v>
      </c>
      <c r="L283" s="2">
        <v>375.8</v>
      </c>
      <c r="M283" t="s">
        <v>4</v>
      </c>
    </row>
    <row r="284" spans="1:13" x14ac:dyDescent="0.35">
      <c r="A284">
        <v>283</v>
      </c>
      <c r="B284">
        <v>75</v>
      </c>
      <c r="C284" t="str">
        <f>IF(Hospital[[#This Row],[Age]]&lt;=12,"Child",
IF(Hospital[[#This Row],[Age]]&lt;=19,"Teen",
IF(Hospital[[#This Row],[Age]]&lt;=35,"Young Adult",
IF(Hospital[[#This Row],[Age]]&lt;=59,"Adult",
"Senior"))))</f>
        <v>Senior</v>
      </c>
      <c r="D284" t="s">
        <v>0</v>
      </c>
      <c r="E284" s="1">
        <v>45194</v>
      </c>
      <c r="F284" s="1" t="str">
        <f t="shared" si="8"/>
        <v>September</v>
      </c>
      <c r="G284" t="s">
        <v>19</v>
      </c>
      <c r="H284" t="s">
        <v>9</v>
      </c>
      <c r="I284" t="s">
        <v>3</v>
      </c>
      <c r="J284" t="str">
        <f t="shared" si="9"/>
        <v>Error: Should be None</v>
      </c>
      <c r="K284">
        <v>2</v>
      </c>
      <c r="L284" s="2">
        <v>114.17</v>
      </c>
      <c r="M284" t="s">
        <v>8</v>
      </c>
    </row>
    <row r="285" spans="1:13" x14ac:dyDescent="0.35">
      <c r="A285">
        <v>284</v>
      </c>
      <c r="B285">
        <v>32</v>
      </c>
      <c r="C28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285" t="s">
        <v>0</v>
      </c>
      <c r="E285" s="1">
        <v>45315</v>
      </c>
      <c r="F285" s="1" t="str">
        <f t="shared" si="8"/>
        <v>January</v>
      </c>
      <c r="G285" t="s">
        <v>19</v>
      </c>
      <c r="H285" t="s">
        <v>9</v>
      </c>
      <c r="I285" t="s">
        <v>3</v>
      </c>
      <c r="J285" t="str">
        <f t="shared" si="9"/>
        <v>Error: Should be None</v>
      </c>
      <c r="K285">
        <v>4</v>
      </c>
      <c r="L285" s="2">
        <v>386.41</v>
      </c>
      <c r="M285" t="s">
        <v>10</v>
      </c>
    </row>
    <row r="286" spans="1:13" x14ac:dyDescent="0.35">
      <c r="A286">
        <v>285</v>
      </c>
      <c r="B286">
        <v>63</v>
      </c>
      <c r="C286" t="str">
        <f>IF(Hospital[[#This Row],[Age]]&lt;=12,"Child",
IF(Hospital[[#This Row],[Age]]&lt;=19,"Teen",
IF(Hospital[[#This Row],[Age]]&lt;=35,"Young Adult",
IF(Hospital[[#This Row],[Age]]&lt;=59,"Adult",
"Senior"))))</f>
        <v>Senior</v>
      </c>
      <c r="D286" t="s">
        <v>0</v>
      </c>
      <c r="E286" s="1">
        <v>45584</v>
      </c>
      <c r="F286" s="1" t="str">
        <f t="shared" si="8"/>
        <v>October</v>
      </c>
      <c r="G286" t="s">
        <v>1</v>
      </c>
      <c r="H286" t="s">
        <v>7</v>
      </c>
      <c r="I286" t="s">
        <v>3</v>
      </c>
      <c r="J286" t="str">
        <f t="shared" si="9"/>
        <v>Error: Should be None</v>
      </c>
      <c r="K286">
        <v>5</v>
      </c>
      <c r="L286" s="2">
        <v>101.25</v>
      </c>
      <c r="M286" t="s">
        <v>10</v>
      </c>
    </row>
    <row r="287" spans="1:13" x14ac:dyDescent="0.35">
      <c r="A287">
        <v>286</v>
      </c>
      <c r="B287">
        <v>83</v>
      </c>
      <c r="C287" t="str">
        <f>IF(Hospital[[#This Row],[Age]]&lt;=12,"Child",
IF(Hospital[[#This Row],[Age]]&lt;=19,"Teen",
IF(Hospital[[#This Row],[Age]]&lt;=35,"Young Adult",
IF(Hospital[[#This Row],[Age]]&lt;=59,"Adult",
"Senior"))))</f>
        <v>Senior</v>
      </c>
      <c r="D287" t="s">
        <v>5</v>
      </c>
      <c r="E287" s="1">
        <v>45115</v>
      </c>
      <c r="F287" s="1" t="str">
        <f t="shared" si="8"/>
        <v>July</v>
      </c>
      <c r="G287" t="s">
        <v>11</v>
      </c>
      <c r="H287" t="s">
        <v>9</v>
      </c>
      <c r="I287" t="s">
        <v>3</v>
      </c>
      <c r="J287" t="str">
        <f t="shared" si="9"/>
        <v>Error: Should be None</v>
      </c>
      <c r="K287">
        <v>1</v>
      </c>
      <c r="L287" s="2">
        <v>473.69</v>
      </c>
      <c r="M287" t="s">
        <v>4</v>
      </c>
    </row>
    <row r="288" spans="1:13" x14ac:dyDescent="0.35">
      <c r="A288">
        <v>287</v>
      </c>
      <c r="B288">
        <v>18</v>
      </c>
      <c r="C288" t="str">
        <f>IF(Hospital[[#This Row],[Age]]&lt;=12,"Child",
IF(Hospital[[#This Row],[Age]]&lt;=19,"Teen",
IF(Hospital[[#This Row],[Age]]&lt;=35,"Young Adult",
IF(Hospital[[#This Row],[Age]]&lt;=59,"Adult",
"Senior"))))</f>
        <v>Teen</v>
      </c>
      <c r="D288" t="s">
        <v>5</v>
      </c>
      <c r="E288" s="1">
        <v>44933</v>
      </c>
      <c r="F288" s="1" t="str">
        <f t="shared" si="8"/>
        <v>January</v>
      </c>
      <c r="G288" t="s">
        <v>11</v>
      </c>
      <c r="H288" t="s">
        <v>12</v>
      </c>
      <c r="I288" t="s">
        <v>13</v>
      </c>
      <c r="J288" t="str">
        <f t="shared" si="9"/>
        <v>Error: Should be None</v>
      </c>
      <c r="K288">
        <v>0</v>
      </c>
      <c r="L288" s="2">
        <v>124.99</v>
      </c>
      <c r="M288" t="s">
        <v>10</v>
      </c>
    </row>
    <row r="289" spans="1:13" x14ac:dyDescent="0.35">
      <c r="A289">
        <v>288</v>
      </c>
      <c r="B289">
        <v>80</v>
      </c>
      <c r="C289" t="str">
        <f>IF(Hospital[[#This Row],[Age]]&lt;=12,"Child",
IF(Hospital[[#This Row],[Age]]&lt;=19,"Teen",
IF(Hospital[[#This Row],[Age]]&lt;=35,"Young Adult",
IF(Hospital[[#This Row],[Age]]&lt;=59,"Adult",
"Senior"))))</f>
        <v>Senior</v>
      </c>
      <c r="D289" t="s">
        <v>0</v>
      </c>
      <c r="E289" s="1">
        <v>45309</v>
      </c>
      <c r="F289" s="1" t="str">
        <f t="shared" si="8"/>
        <v>January</v>
      </c>
      <c r="G289" t="s">
        <v>6</v>
      </c>
      <c r="H289" t="s">
        <v>2</v>
      </c>
      <c r="I289" t="s">
        <v>3</v>
      </c>
      <c r="J289" t="str">
        <f t="shared" si="9"/>
        <v>Error: Should be None</v>
      </c>
      <c r="K289">
        <v>0</v>
      </c>
      <c r="L289" s="2">
        <v>23.17</v>
      </c>
      <c r="M289" t="s">
        <v>10</v>
      </c>
    </row>
    <row r="290" spans="1:13" x14ac:dyDescent="0.35">
      <c r="A290">
        <v>289</v>
      </c>
      <c r="B290">
        <v>68</v>
      </c>
      <c r="C290" t="str">
        <f>IF(Hospital[[#This Row],[Age]]&lt;=12,"Child",
IF(Hospital[[#This Row],[Age]]&lt;=19,"Teen",
IF(Hospital[[#This Row],[Age]]&lt;=35,"Young Adult",
IF(Hospital[[#This Row],[Age]]&lt;=59,"Adult",
"Senior"))))</f>
        <v>Senior</v>
      </c>
      <c r="D290" t="s">
        <v>0</v>
      </c>
      <c r="E290" s="1">
        <v>44939</v>
      </c>
      <c r="F290" s="1" t="str">
        <f t="shared" si="8"/>
        <v>January</v>
      </c>
      <c r="G290" t="s">
        <v>19</v>
      </c>
      <c r="H290" t="s">
        <v>2</v>
      </c>
      <c r="I290" t="s">
        <v>3</v>
      </c>
      <c r="J290" t="str">
        <f t="shared" si="9"/>
        <v>Error: Should be None</v>
      </c>
      <c r="K290">
        <v>0</v>
      </c>
      <c r="L290" s="2">
        <v>261.06</v>
      </c>
      <c r="M290" t="s">
        <v>10</v>
      </c>
    </row>
    <row r="291" spans="1:13" x14ac:dyDescent="0.35">
      <c r="A291">
        <v>290</v>
      </c>
      <c r="B291">
        <v>13</v>
      </c>
      <c r="C291" t="str">
        <f>IF(Hospital[[#This Row],[Age]]&lt;=12,"Child",
IF(Hospital[[#This Row],[Age]]&lt;=19,"Teen",
IF(Hospital[[#This Row],[Age]]&lt;=35,"Young Adult",
IF(Hospital[[#This Row],[Age]]&lt;=59,"Adult",
"Senior"))))</f>
        <v>Teen</v>
      </c>
      <c r="D291" t="s">
        <v>5</v>
      </c>
      <c r="E291" s="1">
        <v>45110</v>
      </c>
      <c r="F291" s="1" t="str">
        <f t="shared" si="8"/>
        <v>July</v>
      </c>
      <c r="G291" t="s">
        <v>1</v>
      </c>
      <c r="H291" t="s">
        <v>2</v>
      </c>
      <c r="I291" t="s">
        <v>3</v>
      </c>
      <c r="J291" t="str">
        <f t="shared" si="9"/>
        <v>Error: Should be None</v>
      </c>
      <c r="K291">
        <v>3</v>
      </c>
      <c r="L291" s="2">
        <v>317.49</v>
      </c>
      <c r="M291" t="s">
        <v>16</v>
      </c>
    </row>
    <row r="292" spans="1:13" x14ac:dyDescent="0.35">
      <c r="A292">
        <v>291</v>
      </c>
      <c r="B292">
        <v>51</v>
      </c>
      <c r="C292" t="str">
        <f>IF(Hospital[[#This Row],[Age]]&lt;=12,"Child",
IF(Hospital[[#This Row],[Age]]&lt;=19,"Teen",
IF(Hospital[[#This Row],[Age]]&lt;=35,"Young Adult",
IF(Hospital[[#This Row],[Age]]&lt;=59,"Adult",
"Senior"))))</f>
        <v>Adult</v>
      </c>
      <c r="D292" t="s">
        <v>5</v>
      </c>
      <c r="E292" s="1">
        <v>45289</v>
      </c>
      <c r="F292" s="1" t="str">
        <f t="shared" si="8"/>
        <v>December</v>
      </c>
      <c r="G292" t="s">
        <v>19</v>
      </c>
      <c r="H292" t="s">
        <v>14</v>
      </c>
      <c r="I292" t="s">
        <v>20</v>
      </c>
      <c r="J292" t="str">
        <f t="shared" si="9"/>
        <v>Error: Should be None</v>
      </c>
      <c r="K292">
        <v>7</v>
      </c>
      <c r="L292" s="2">
        <v>291.2</v>
      </c>
      <c r="M292" t="s">
        <v>8</v>
      </c>
    </row>
    <row r="293" spans="1:13" x14ac:dyDescent="0.35">
      <c r="A293">
        <v>292</v>
      </c>
      <c r="B293">
        <v>11</v>
      </c>
      <c r="C293" t="str">
        <f>IF(Hospital[[#This Row],[Age]]&lt;=12,"Child",
IF(Hospital[[#This Row],[Age]]&lt;=19,"Teen",
IF(Hospital[[#This Row],[Age]]&lt;=35,"Young Adult",
IF(Hospital[[#This Row],[Age]]&lt;=59,"Adult",
"Senior"))))</f>
        <v>Child</v>
      </c>
      <c r="D293" t="s">
        <v>5</v>
      </c>
      <c r="E293" s="1">
        <v>45234</v>
      </c>
      <c r="F293" s="1" t="str">
        <f t="shared" si="8"/>
        <v>November</v>
      </c>
      <c r="G293" t="s">
        <v>11</v>
      </c>
      <c r="H293" t="s">
        <v>7</v>
      </c>
      <c r="I293" t="s">
        <v>3</v>
      </c>
      <c r="J293" t="str">
        <f t="shared" si="9"/>
        <v>Error: Should be None</v>
      </c>
      <c r="K293">
        <v>6</v>
      </c>
      <c r="L293" s="2">
        <v>202.05</v>
      </c>
      <c r="M293" t="s">
        <v>10</v>
      </c>
    </row>
    <row r="294" spans="1:13" x14ac:dyDescent="0.35">
      <c r="A294">
        <v>293</v>
      </c>
      <c r="B294">
        <v>2</v>
      </c>
      <c r="C294" t="str">
        <f>IF(Hospital[[#This Row],[Age]]&lt;=12,"Child",
IF(Hospital[[#This Row],[Age]]&lt;=19,"Teen",
IF(Hospital[[#This Row],[Age]]&lt;=35,"Young Adult",
IF(Hospital[[#This Row],[Age]]&lt;=59,"Adult",
"Senior"))))</f>
        <v>Child</v>
      </c>
      <c r="D294" t="s">
        <v>5</v>
      </c>
      <c r="E294" s="1">
        <v>44984</v>
      </c>
      <c r="F294" s="1" t="str">
        <f t="shared" si="8"/>
        <v>February</v>
      </c>
      <c r="G294" t="s">
        <v>11</v>
      </c>
      <c r="H294" t="s">
        <v>7</v>
      </c>
      <c r="I294" t="s">
        <v>3</v>
      </c>
      <c r="J294" t="str">
        <f t="shared" si="9"/>
        <v>Error: Should be None</v>
      </c>
      <c r="K294">
        <v>7</v>
      </c>
      <c r="L294" s="2">
        <v>425.76</v>
      </c>
      <c r="M294" t="s">
        <v>16</v>
      </c>
    </row>
    <row r="295" spans="1:13" x14ac:dyDescent="0.35">
      <c r="A295">
        <v>294</v>
      </c>
      <c r="B295">
        <v>68</v>
      </c>
      <c r="C295" t="str">
        <f>IF(Hospital[[#This Row],[Age]]&lt;=12,"Child",
IF(Hospital[[#This Row],[Age]]&lt;=19,"Teen",
IF(Hospital[[#This Row],[Age]]&lt;=35,"Young Adult",
IF(Hospital[[#This Row],[Age]]&lt;=59,"Adult",
"Senior"))))</f>
        <v>Senior</v>
      </c>
      <c r="D295" t="s">
        <v>5</v>
      </c>
      <c r="E295" s="1">
        <v>45506</v>
      </c>
      <c r="F295" s="1" t="str">
        <f t="shared" si="8"/>
        <v>August</v>
      </c>
      <c r="G295" t="s">
        <v>1</v>
      </c>
      <c r="H295" t="s">
        <v>2</v>
      </c>
      <c r="I295" t="s">
        <v>3</v>
      </c>
      <c r="J295" t="str">
        <f t="shared" si="9"/>
        <v>Error: Should be None</v>
      </c>
      <c r="K295">
        <v>3</v>
      </c>
      <c r="L295" s="2">
        <v>452.61</v>
      </c>
      <c r="M295" t="s">
        <v>10</v>
      </c>
    </row>
    <row r="296" spans="1:13" x14ac:dyDescent="0.35">
      <c r="A296">
        <v>295</v>
      </c>
      <c r="B296">
        <v>10</v>
      </c>
      <c r="C296" t="str">
        <f>IF(Hospital[[#This Row],[Age]]&lt;=12,"Child",
IF(Hospital[[#This Row],[Age]]&lt;=19,"Teen",
IF(Hospital[[#This Row],[Age]]&lt;=35,"Young Adult",
IF(Hospital[[#This Row],[Age]]&lt;=59,"Adult",
"Senior"))))</f>
        <v>Child</v>
      </c>
      <c r="D296" t="s">
        <v>0</v>
      </c>
      <c r="E296" s="1">
        <v>45204</v>
      </c>
      <c r="F296" s="1" t="str">
        <f t="shared" si="8"/>
        <v>October</v>
      </c>
      <c r="G296" t="s">
        <v>11</v>
      </c>
      <c r="H296" t="s">
        <v>2</v>
      </c>
      <c r="I296" t="s">
        <v>3</v>
      </c>
      <c r="J296" t="str">
        <f t="shared" si="9"/>
        <v>Error: Should be None</v>
      </c>
      <c r="K296">
        <v>2</v>
      </c>
      <c r="L296" s="2">
        <v>465.81</v>
      </c>
      <c r="M296" t="s">
        <v>16</v>
      </c>
    </row>
    <row r="297" spans="1:13" x14ac:dyDescent="0.35">
      <c r="A297">
        <v>296</v>
      </c>
      <c r="B297">
        <v>76</v>
      </c>
      <c r="C297" t="str">
        <f>IF(Hospital[[#This Row],[Age]]&lt;=12,"Child",
IF(Hospital[[#This Row],[Age]]&lt;=19,"Teen",
IF(Hospital[[#This Row],[Age]]&lt;=35,"Young Adult",
IF(Hospital[[#This Row],[Age]]&lt;=59,"Adult",
"Senior"))))</f>
        <v>Senior</v>
      </c>
      <c r="D297" t="s">
        <v>5</v>
      </c>
      <c r="E297" s="1">
        <v>44943</v>
      </c>
      <c r="F297" s="1" t="str">
        <f t="shared" si="8"/>
        <v>January</v>
      </c>
      <c r="G297" t="s">
        <v>6</v>
      </c>
      <c r="H297" t="s">
        <v>17</v>
      </c>
      <c r="I297" t="s">
        <v>15</v>
      </c>
      <c r="J297" t="str">
        <f t="shared" si="9"/>
        <v>Error: Should be None</v>
      </c>
      <c r="K297">
        <v>4</v>
      </c>
      <c r="L297" s="2">
        <v>97.98</v>
      </c>
      <c r="M297" t="s">
        <v>8</v>
      </c>
    </row>
    <row r="298" spans="1:13" x14ac:dyDescent="0.35">
      <c r="A298">
        <v>297</v>
      </c>
      <c r="B298">
        <v>70</v>
      </c>
      <c r="C298" t="str">
        <f>IF(Hospital[[#This Row],[Age]]&lt;=12,"Child",
IF(Hospital[[#This Row],[Age]]&lt;=19,"Teen",
IF(Hospital[[#This Row],[Age]]&lt;=35,"Young Adult",
IF(Hospital[[#This Row],[Age]]&lt;=59,"Adult",
"Senior"))))</f>
        <v>Senior</v>
      </c>
      <c r="D298" t="s">
        <v>0</v>
      </c>
      <c r="E298" s="1">
        <v>45507</v>
      </c>
      <c r="F298" s="1" t="str">
        <f t="shared" si="8"/>
        <v>August</v>
      </c>
      <c r="G298" t="s">
        <v>6</v>
      </c>
      <c r="H298" t="s">
        <v>12</v>
      </c>
      <c r="I298" t="s">
        <v>13</v>
      </c>
      <c r="J298" t="str">
        <f t="shared" si="9"/>
        <v>Error: Should be None</v>
      </c>
      <c r="K298">
        <v>1</v>
      </c>
      <c r="L298" s="2">
        <v>260.38</v>
      </c>
      <c r="M298" t="s">
        <v>16</v>
      </c>
    </row>
    <row r="299" spans="1:13" x14ac:dyDescent="0.35">
      <c r="A299">
        <v>298</v>
      </c>
      <c r="B299">
        <v>56</v>
      </c>
      <c r="C299" t="str">
        <f>IF(Hospital[[#This Row],[Age]]&lt;=12,"Child",
IF(Hospital[[#This Row],[Age]]&lt;=19,"Teen",
IF(Hospital[[#This Row],[Age]]&lt;=35,"Young Adult",
IF(Hospital[[#This Row],[Age]]&lt;=59,"Adult",
"Senior"))))</f>
        <v>Adult</v>
      </c>
      <c r="D299" t="s">
        <v>5</v>
      </c>
      <c r="E299" s="1">
        <v>44981</v>
      </c>
      <c r="F299" s="1" t="str">
        <f t="shared" si="8"/>
        <v>February</v>
      </c>
      <c r="G299" t="s">
        <v>11</v>
      </c>
      <c r="H299" t="s">
        <v>2</v>
      </c>
      <c r="I299" t="s">
        <v>3</v>
      </c>
      <c r="J299" t="str">
        <f t="shared" si="9"/>
        <v>Error: Should be None</v>
      </c>
      <c r="K299">
        <v>5</v>
      </c>
      <c r="L299" s="2">
        <v>310.48</v>
      </c>
      <c r="M299" t="s">
        <v>10</v>
      </c>
    </row>
    <row r="300" spans="1:13" x14ac:dyDescent="0.35">
      <c r="A300">
        <v>299</v>
      </c>
      <c r="B300">
        <v>82</v>
      </c>
      <c r="C300" t="str">
        <f>IF(Hospital[[#This Row],[Age]]&lt;=12,"Child",
IF(Hospital[[#This Row],[Age]]&lt;=19,"Teen",
IF(Hospital[[#This Row],[Age]]&lt;=35,"Young Adult",
IF(Hospital[[#This Row],[Age]]&lt;=59,"Adult",
"Senior"))))</f>
        <v>Senior</v>
      </c>
      <c r="D300" t="s">
        <v>0</v>
      </c>
      <c r="E300" s="1">
        <v>45261</v>
      </c>
      <c r="F300" s="1" t="str">
        <f t="shared" si="8"/>
        <v>December</v>
      </c>
      <c r="G300" t="s">
        <v>6</v>
      </c>
      <c r="H300" t="s">
        <v>2</v>
      </c>
      <c r="I300" t="s">
        <v>3</v>
      </c>
      <c r="J300" t="str">
        <f t="shared" si="9"/>
        <v>Error: Should be None</v>
      </c>
      <c r="K300">
        <v>7</v>
      </c>
      <c r="L300" s="2">
        <v>129.51</v>
      </c>
      <c r="M300" t="s">
        <v>10</v>
      </c>
    </row>
    <row r="301" spans="1:13" x14ac:dyDescent="0.35">
      <c r="A301">
        <v>300</v>
      </c>
      <c r="B301">
        <v>75</v>
      </c>
      <c r="C301" t="str">
        <f>IF(Hospital[[#This Row],[Age]]&lt;=12,"Child",
IF(Hospital[[#This Row],[Age]]&lt;=19,"Teen",
IF(Hospital[[#This Row],[Age]]&lt;=35,"Young Adult",
IF(Hospital[[#This Row],[Age]]&lt;=59,"Adult",
"Senior"))))</f>
        <v>Senior</v>
      </c>
      <c r="D301" t="s">
        <v>0</v>
      </c>
      <c r="E301" s="1">
        <v>45369</v>
      </c>
      <c r="F301" s="1" t="str">
        <f t="shared" si="8"/>
        <v>March</v>
      </c>
      <c r="G301" t="s">
        <v>11</v>
      </c>
      <c r="H301" t="s">
        <v>17</v>
      </c>
      <c r="I301" t="s">
        <v>3</v>
      </c>
      <c r="J301" t="str">
        <f t="shared" si="9"/>
        <v>Error: Should be None</v>
      </c>
      <c r="K301">
        <v>4</v>
      </c>
      <c r="L301" s="2">
        <v>403.07</v>
      </c>
      <c r="M301" t="s">
        <v>4</v>
      </c>
    </row>
    <row r="302" spans="1:13" x14ac:dyDescent="0.35">
      <c r="A302">
        <v>301</v>
      </c>
      <c r="B302">
        <v>20</v>
      </c>
      <c r="C30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02" t="s">
        <v>0</v>
      </c>
      <c r="E302" s="1">
        <v>45011</v>
      </c>
      <c r="F302" s="1" t="str">
        <f t="shared" si="8"/>
        <v>March</v>
      </c>
      <c r="G302" t="s">
        <v>1</v>
      </c>
      <c r="H302" t="s">
        <v>14</v>
      </c>
      <c r="I302" t="s">
        <v>20</v>
      </c>
      <c r="J302" t="str">
        <f t="shared" si="9"/>
        <v>Error: Should be None</v>
      </c>
      <c r="K302">
        <v>5</v>
      </c>
      <c r="L302" s="2">
        <v>193.14</v>
      </c>
      <c r="M302" t="s">
        <v>4</v>
      </c>
    </row>
    <row r="303" spans="1:13" x14ac:dyDescent="0.35">
      <c r="A303">
        <v>302</v>
      </c>
      <c r="B303">
        <v>57</v>
      </c>
      <c r="C303" t="str">
        <f>IF(Hospital[[#This Row],[Age]]&lt;=12,"Child",
IF(Hospital[[#This Row],[Age]]&lt;=19,"Teen",
IF(Hospital[[#This Row],[Age]]&lt;=35,"Young Adult",
IF(Hospital[[#This Row],[Age]]&lt;=59,"Adult",
"Senior"))))</f>
        <v>Adult</v>
      </c>
      <c r="D303" t="s">
        <v>0</v>
      </c>
      <c r="E303" s="1">
        <v>44932</v>
      </c>
      <c r="F303" s="1" t="str">
        <f t="shared" si="8"/>
        <v>January</v>
      </c>
      <c r="G303" t="s">
        <v>19</v>
      </c>
      <c r="H303" t="s">
        <v>14</v>
      </c>
      <c r="I303" t="s">
        <v>15</v>
      </c>
      <c r="J303" t="str">
        <f t="shared" si="9"/>
        <v>Error: Should be None</v>
      </c>
      <c r="K303">
        <v>2</v>
      </c>
      <c r="L303" s="2">
        <v>61.9</v>
      </c>
      <c r="M303" t="s">
        <v>10</v>
      </c>
    </row>
    <row r="304" spans="1:13" x14ac:dyDescent="0.35">
      <c r="A304">
        <v>303</v>
      </c>
      <c r="B304">
        <v>72</v>
      </c>
      <c r="C304" t="str">
        <f>IF(Hospital[[#This Row],[Age]]&lt;=12,"Child",
IF(Hospital[[#This Row],[Age]]&lt;=19,"Teen",
IF(Hospital[[#This Row],[Age]]&lt;=35,"Young Adult",
IF(Hospital[[#This Row],[Age]]&lt;=59,"Adult",
"Senior"))))</f>
        <v>Senior</v>
      </c>
      <c r="D304" t="s">
        <v>0</v>
      </c>
      <c r="E304" s="1">
        <v>45386</v>
      </c>
      <c r="F304" s="1" t="str">
        <f t="shared" si="8"/>
        <v>April</v>
      </c>
      <c r="G304" t="s">
        <v>11</v>
      </c>
      <c r="H304" t="s">
        <v>9</v>
      </c>
      <c r="I304" t="s">
        <v>3</v>
      </c>
      <c r="J304" t="str">
        <f t="shared" si="9"/>
        <v>Error: Should be None</v>
      </c>
      <c r="K304">
        <v>0</v>
      </c>
      <c r="L304" s="2">
        <v>63.02</v>
      </c>
      <c r="M304" t="s">
        <v>4</v>
      </c>
    </row>
    <row r="305" spans="1:13" x14ac:dyDescent="0.35">
      <c r="A305">
        <v>304</v>
      </c>
      <c r="B305">
        <v>42</v>
      </c>
      <c r="C305" t="str">
        <f>IF(Hospital[[#This Row],[Age]]&lt;=12,"Child",
IF(Hospital[[#This Row],[Age]]&lt;=19,"Teen",
IF(Hospital[[#This Row],[Age]]&lt;=35,"Young Adult",
IF(Hospital[[#This Row],[Age]]&lt;=59,"Adult",
"Senior"))))</f>
        <v>Adult</v>
      </c>
      <c r="D305" t="s">
        <v>0</v>
      </c>
      <c r="E305" s="1">
        <v>45538</v>
      </c>
      <c r="F305" s="1" t="str">
        <f t="shared" si="8"/>
        <v>September</v>
      </c>
      <c r="G305" t="s">
        <v>11</v>
      </c>
      <c r="H305" t="s">
        <v>9</v>
      </c>
      <c r="I305" t="s">
        <v>3</v>
      </c>
      <c r="J305" t="str">
        <f t="shared" si="9"/>
        <v>Error: Should be None</v>
      </c>
      <c r="K305">
        <v>4</v>
      </c>
      <c r="L305" s="2">
        <v>218.63</v>
      </c>
      <c r="M305" t="s">
        <v>4</v>
      </c>
    </row>
    <row r="306" spans="1:13" x14ac:dyDescent="0.35">
      <c r="A306">
        <v>305</v>
      </c>
      <c r="B306">
        <v>74</v>
      </c>
      <c r="C306" t="str">
        <f>IF(Hospital[[#This Row],[Age]]&lt;=12,"Child",
IF(Hospital[[#This Row],[Age]]&lt;=19,"Teen",
IF(Hospital[[#This Row],[Age]]&lt;=35,"Young Adult",
IF(Hospital[[#This Row],[Age]]&lt;=59,"Adult",
"Senior"))))</f>
        <v>Senior</v>
      </c>
      <c r="D306" t="s">
        <v>5</v>
      </c>
      <c r="E306" s="1">
        <v>45499</v>
      </c>
      <c r="F306" s="1" t="str">
        <f t="shared" si="8"/>
        <v>July</v>
      </c>
      <c r="G306" t="s">
        <v>6</v>
      </c>
      <c r="H306" t="s">
        <v>17</v>
      </c>
      <c r="I306" t="s">
        <v>13</v>
      </c>
      <c r="J306" t="str">
        <f t="shared" si="9"/>
        <v>Error: Should be None</v>
      </c>
      <c r="K306">
        <v>2</v>
      </c>
      <c r="L306" s="2">
        <v>149.08000000000001</v>
      </c>
      <c r="M306" t="s">
        <v>16</v>
      </c>
    </row>
    <row r="307" spans="1:13" x14ac:dyDescent="0.35">
      <c r="A307">
        <v>306</v>
      </c>
      <c r="B307">
        <v>9</v>
      </c>
      <c r="C307" t="str">
        <f>IF(Hospital[[#This Row],[Age]]&lt;=12,"Child",
IF(Hospital[[#This Row],[Age]]&lt;=19,"Teen",
IF(Hospital[[#This Row],[Age]]&lt;=35,"Young Adult",
IF(Hospital[[#This Row],[Age]]&lt;=59,"Adult",
"Senior"))))</f>
        <v>Child</v>
      </c>
      <c r="D307" t="s">
        <v>5</v>
      </c>
      <c r="E307" s="1">
        <v>45431</v>
      </c>
      <c r="F307" s="1" t="str">
        <f t="shared" si="8"/>
        <v>May</v>
      </c>
      <c r="G307" t="s">
        <v>6</v>
      </c>
      <c r="H307" t="s">
        <v>17</v>
      </c>
      <c r="I307" t="s">
        <v>18</v>
      </c>
      <c r="J307" t="str">
        <f t="shared" si="9"/>
        <v>Error: Should be None</v>
      </c>
      <c r="K307">
        <v>6</v>
      </c>
      <c r="L307" s="2">
        <v>163.88</v>
      </c>
      <c r="M307" t="s">
        <v>4</v>
      </c>
    </row>
    <row r="308" spans="1:13" x14ac:dyDescent="0.35">
      <c r="A308">
        <v>307</v>
      </c>
      <c r="B308">
        <v>32</v>
      </c>
      <c r="C30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08" t="s">
        <v>0</v>
      </c>
      <c r="E308" s="1">
        <v>45296</v>
      </c>
      <c r="F308" s="1" t="str">
        <f t="shared" si="8"/>
        <v>January</v>
      </c>
      <c r="G308" t="s">
        <v>1</v>
      </c>
      <c r="H308" t="s">
        <v>14</v>
      </c>
      <c r="I308" t="s">
        <v>20</v>
      </c>
      <c r="J308" t="str">
        <f t="shared" si="9"/>
        <v>Error: Should be None</v>
      </c>
      <c r="K308">
        <v>1</v>
      </c>
      <c r="L308" s="2">
        <v>85.03</v>
      </c>
      <c r="M308" t="s">
        <v>4</v>
      </c>
    </row>
    <row r="309" spans="1:13" x14ac:dyDescent="0.35">
      <c r="A309">
        <v>308</v>
      </c>
      <c r="B309">
        <v>80</v>
      </c>
      <c r="C309" t="str">
        <f>IF(Hospital[[#This Row],[Age]]&lt;=12,"Child",
IF(Hospital[[#This Row],[Age]]&lt;=19,"Teen",
IF(Hospital[[#This Row],[Age]]&lt;=35,"Young Adult",
IF(Hospital[[#This Row],[Age]]&lt;=59,"Adult",
"Senior"))))</f>
        <v>Senior</v>
      </c>
      <c r="D309" t="s">
        <v>0</v>
      </c>
      <c r="E309" s="1">
        <v>45332</v>
      </c>
      <c r="F309" s="1" t="str">
        <f t="shared" si="8"/>
        <v>February</v>
      </c>
      <c r="G309" t="s">
        <v>19</v>
      </c>
      <c r="H309" t="s">
        <v>14</v>
      </c>
      <c r="I309" t="s">
        <v>20</v>
      </c>
      <c r="J309" t="str">
        <f t="shared" si="9"/>
        <v>Error: Should be None</v>
      </c>
      <c r="K309">
        <v>5</v>
      </c>
      <c r="L309" s="2">
        <v>226.7</v>
      </c>
      <c r="M309" t="s">
        <v>8</v>
      </c>
    </row>
    <row r="310" spans="1:13" x14ac:dyDescent="0.35">
      <c r="A310">
        <v>309</v>
      </c>
      <c r="B310">
        <v>78</v>
      </c>
      <c r="C310" t="str">
        <f>IF(Hospital[[#This Row],[Age]]&lt;=12,"Child",
IF(Hospital[[#This Row],[Age]]&lt;=19,"Teen",
IF(Hospital[[#This Row],[Age]]&lt;=35,"Young Adult",
IF(Hospital[[#This Row],[Age]]&lt;=59,"Adult",
"Senior"))))</f>
        <v>Senior</v>
      </c>
      <c r="D310" t="s">
        <v>5</v>
      </c>
      <c r="E310" s="1">
        <v>45234</v>
      </c>
      <c r="F310" s="1" t="str">
        <f t="shared" si="8"/>
        <v>November</v>
      </c>
      <c r="G310" t="s">
        <v>6</v>
      </c>
      <c r="H310" t="s">
        <v>14</v>
      </c>
      <c r="I310" t="s">
        <v>18</v>
      </c>
      <c r="J310" t="str">
        <f t="shared" si="9"/>
        <v>Error: Should be None</v>
      </c>
      <c r="K310">
        <v>2</v>
      </c>
      <c r="L310" s="2">
        <v>483</v>
      </c>
      <c r="M310" t="s">
        <v>16</v>
      </c>
    </row>
    <row r="311" spans="1:13" x14ac:dyDescent="0.35">
      <c r="A311">
        <v>310</v>
      </c>
      <c r="B311">
        <v>82</v>
      </c>
      <c r="C311" t="str">
        <f>IF(Hospital[[#This Row],[Age]]&lt;=12,"Child",
IF(Hospital[[#This Row],[Age]]&lt;=19,"Teen",
IF(Hospital[[#This Row],[Age]]&lt;=35,"Young Adult",
IF(Hospital[[#This Row],[Age]]&lt;=59,"Adult",
"Senior"))))</f>
        <v>Senior</v>
      </c>
      <c r="D311" t="s">
        <v>0</v>
      </c>
      <c r="E311" s="1">
        <v>45225</v>
      </c>
      <c r="F311" s="1" t="str">
        <f t="shared" si="8"/>
        <v>October</v>
      </c>
      <c r="G311" t="s">
        <v>1</v>
      </c>
      <c r="H311" t="s">
        <v>7</v>
      </c>
      <c r="I311" t="s">
        <v>3</v>
      </c>
      <c r="J311" t="str">
        <f t="shared" si="9"/>
        <v>Error: Should be None</v>
      </c>
      <c r="K311">
        <v>5</v>
      </c>
      <c r="L311" s="2">
        <v>200.51</v>
      </c>
      <c r="M311" t="s">
        <v>10</v>
      </c>
    </row>
    <row r="312" spans="1:13" x14ac:dyDescent="0.35">
      <c r="A312">
        <v>311</v>
      </c>
      <c r="B312">
        <v>73</v>
      </c>
      <c r="C312" t="str">
        <f>IF(Hospital[[#This Row],[Age]]&lt;=12,"Child",
IF(Hospital[[#This Row],[Age]]&lt;=19,"Teen",
IF(Hospital[[#This Row],[Age]]&lt;=35,"Young Adult",
IF(Hospital[[#This Row],[Age]]&lt;=59,"Adult",
"Senior"))))</f>
        <v>Senior</v>
      </c>
      <c r="D312" t="s">
        <v>5</v>
      </c>
      <c r="E312" s="1">
        <v>45300</v>
      </c>
      <c r="F312" s="1" t="str">
        <f t="shared" si="8"/>
        <v>January</v>
      </c>
      <c r="G312" t="s">
        <v>1</v>
      </c>
      <c r="H312" t="s">
        <v>2</v>
      </c>
      <c r="I312" t="s">
        <v>3</v>
      </c>
      <c r="J312" t="str">
        <f t="shared" si="9"/>
        <v>Error: Should be None</v>
      </c>
      <c r="K312">
        <v>10</v>
      </c>
      <c r="L312" s="2">
        <v>388.46</v>
      </c>
      <c r="M312" t="s">
        <v>4</v>
      </c>
    </row>
    <row r="313" spans="1:13" x14ac:dyDescent="0.35">
      <c r="A313">
        <v>312</v>
      </c>
      <c r="B313">
        <v>27</v>
      </c>
      <c r="C31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13" t="s">
        <v>0</v>
      </c>
      <c r="E313" s="1">
        <v>45399</v>
      </c>
      <c r="F313" s="1" t="str">
        <f t="shared" si="8"/>
        <v>April</v>
      </c>
      <c r="G313" t="s">
        <v>19</v>
      </c>
      <c r="H313" t="s">
        <v>7</v>
      </c>
      <c r="I313" t="s">
        <v>3</v>
      </c>
      <c r="J313" t="str">
        <f t="shared" si="9"/>
        <v>Error: Should be None</v>
      </c>
      <c r="K313">
        <v>1</v>
      </c>
      <c r="L313" s="2">
        <v>413.1</v>
      </c>
      <c r="M313" t="s">
        <v>10</v>
      </c>
    </row>
    <row r="314" spans="1:13" x14ac:dyDescent="0.35">
      <c r="A314">
        <v>313</v>
      </c>
      <c r="B314">
        <v>18</v>
      </c>
      <c r="C314" t="str">
        <f>IF(Hospital[[#This Row],[Age]]&lt;=12,"Child",
IF(Hospital[[#This Row],[Age]]&lt;=19,"Teen",
IF(Hospital[[#This Row],[Age]]&lt;=35,"Young Adult",
IF(Hospital[[#This Row],[Age]]&lt;=59,"Adult",
"Senior"))))</f>
        <v>Teen</v>
      </c>
      <c r="D314" t="s">
        <v>0</v>
      </c>
      <c r="E314" s="1">
        <v>45616</v>
      </c>
      <c r="F314" s="1" t="str">
        <f t="shared" si="8"/>
        <v>November</v>
      </c>
      <c r="G314" t="s">
        <v>1</v>
      </c>
      <c r="H314" t="s">
        <v>12</v>
      </c>
      <c r="I314" t="s">
        <v>18</v>
      </c>
      <c r="J314" t="str">
        <f t="shared" si="9"/>
        <v>Error: Should be None</v>
      </c>
      <c r="K314">
        <v>10</v>
      </c>
      <c r="L314" s="2">
        <v>93.99</v>
      </c>
      <c r="M314" t="s">
        <v>10</v>
      </c>
    </row>
    <row r="315" spans="1:13" x14ac:dyDescent="0.35">
      <c r="A315">
        <v>314</v>
      </c>
      <c r="B315">
        <v>58</v>
      </c>
      <c r="C315" t="str">
        <f>IF(Hospital[[#This Row],[Age]]&lt;=12,"Child",
IF(Hospital[[#This Row],[Age]]&lt;=19,"Teen",
IF(Hospital[[#This Row],[Age]]&lt;=35,"Young Adult",
IF(Hospital[[#This Row],[Age]]&lt;=59,"Adult",
"Senior"))))</f>
        <v>Adult</v>
      </c>
      <c r="D315" t="s">
        <v>0</v>
      </c>
      <c r="E315" s="1">
        <v>45313</v>
      </c>
      <c r="F315" s="1" t="str">
        <f t="shared" si="8"/>
        <v>January</v>
      </c>
      <c r="G315" t="s">
        <v>6</v>
      </c>
      <c r="H315" t="s">
        <v>2</v>
      </c>
      <c r="I315" t="s">
        <v>3</v>
      </c>
      <c r="J315" t="str">
        <f t="shared" si="9"/>
        <v>Error: Should be None</v>
      </c>
      <c r="K315">
        <v>8</v>
      </c>
      <c r="L315" s="2">
        <v>263.17</v>
      </c>
      <c r="M315" t="s">
        <v>10</v>
      </c>
    </row>
    <row r="316" spans="1:13" x14ac:dyDescent="0.35">
      <c r="A316">
        <v>315</v>
      </c>
      <c r="B316">
        <v>47</v>
      </c>
      <c r="C316" t="str">
        <f>IF(Hospital[[#This Row],[Age]]&lt;=12,"Child",
IF(Hospital[[#This Row],[Age]]&lt;=19,"Teen",
IF(Hospital[[#This Row],[Age]]&lt;=35,"Young Adult",
IF(Hospital[[#This Row],[Age]]&lt;=59,"Adult",
"Senior"))))</f>
        <v>Adult</v>
      </c>
      <c r="D316" t="s">
        <v>5</v>
      </c>
      <c r="E316" s="1">
        <v>45483</v>
      </c>
      <c r="F316" s="1" t="str">
        <f t="shared" si="8"/>
        <v>July</v>
      </c>
      <c r="G316" t="s">
        <v>11</v>
      </c>
      <c r="H316" t="s">
        <v>2</v>
      </c>
      <c r="I316" t="s">
        <v>3</v>
      </c>
      <c r="J316" t="str">
        <f t="shared" si="9"/>
        <v>Error: Should be None</v>
      </c>
      <c r="K316">
        <v>3</v>
      </c>
      <c r="L316" s="2">
        <v>335.65</v>
      </c>
      <c r="M316" t="s">
        <v>16</v>
      </c>
    </row>
    <row r="317" spans="1:13" x14ac:dyDescent="0.35">
      <c r="A317">
        <v>316</v>
      </c>
      <c r="B317">
        <v>79</v>
      </c>
      <c r="C317" t="str">
        <f>IF(Hospital[[#This Row],[Age]]&lt;=12,"Child",
IF(Hospital[[#This Row],[Age]]&lt;=19,"Teen",
IF(Hospital[[#This Row],[Age]]&lt;=35,"Young Adult",
IF(Hospital[[#This Row],[Age]]&lt;=59,"Adult",
"Senior"))))</f>
        <v>Senior</v>
      </c>
      <c r="D317" t="s">
        <v>5</v>
      </c>
      <c r="E317" s="1">
        <v>45097</v>
      </c>
      <c r="F317" s="1" t="str">
        <f t="shared" si="8"/>
        <v>June</v>
      </c>
      <c r="G317" t="s">
        <v>6</v>
      </c>
      <c r="H317" t="s">
        <v>7</v>
      </c>
      <c r="I317" t="s">
        <v>3</v>
      </c>
      <c r="J317" t="str">
        <f t="shared" si="9"/>
        <v>Error: Should be None</v>
      </c>
      <c r="K317">
        <v>5</v>
      </c>
      <c r="L317" s="2">
        <v>483.54</v>
      </c>
      <c r="M317" t="s">
        <v>10</v>
      </c>
    </row>
    <row r="318" spans="1:13" x14ac:dyDescent="0.35">
      <c r="A318">
        <v>317</v>
      </c>
      <c r="B318">
        <v>13</v>
      </c>
      <c r="C318" t="str">
        <f>IF(Hospital[[#This Row],[Age]]&lt;=12,"Child",
IF(Hospital[[#This Row],[Age]]&lt;=19,"Teen",
IF(Hospital[[#This Row],[Age]]&lt;=35,"Young Adult",
IF(Hospital[[#This Row],[Age]]&lt;=59,"Adult",
"Senior"))))</f>
        <v>Teen</v>
      </c>
      <c r="D318" t="s">
        <v>0</v>
      </c>
      <c r="E318" s="1">
        <v>45035</v>
      </c>
      <c r="F318" s="1" t="str">
        <f t="shared" si="8"/>
        <v>April</v>
      </c>
      <c r="G318" t="s">
        <v>1</v>
      </c>
      <c r="H318" t="s">
        <v>2</v>
      </c>
      <c r="I318" t="s">
        <v>3</v>
      </c>
      <c r="J318" t="str">
        <f t="shared" si="9"/>
        <v>Error: Should be None</v>
      </c>
      <c r="K318">
        <v>8</v>
      </c>
      <c r="L318" s="2">
        <v>378.49</v>
      </c>
      <c r="M318" t="s">
        <v>8</v>
      </c>
    </row>
    <row r="319" spans="1:13" x14ac:dyDescent="0.35">
      <c r="A319">
        <v>318</v>
      </c>
      <c r="B319">
        <v>51</v>
      </c>
      <c r="C319" t="str">
        <f>IF(Hospital[[#This Row],[Age]]&lt;=12,"Child",
IF(Hospital[[#This Row],[Age]]&lt;=19,"Teen",
IF(Hospital[[#This Row],[Age]]&lt;=35,"Young Adult",
IF(Hospital[[#This Row],[Age]]&lt;=59,"Adult",
"Senior"))))</f>
        <v>Adult</v>
      </c>
      <c r="D319" t="s">
        <v>0</v>
      </c>
      <c r="E319" s="1">
        <v>45383</v>
      </c>
      <c r="F319" s="1" t="str">
        <f t="shared" si="8"/>
        <v>April</v>
      </c>
      <c r="G319" t="s">
        <v>1</v>
      </c>
      <c r="H319" t="s">
        <v>14</v>
      </c>
      <c r="I319" t="s">
        <v>18</v>
      </c>
      <c r="J319" t="str">
        <f t="shared" si="9"/>
        <v>Error: Should be None</v>
      </c>
      <c r="K319">
        <v>0</v>
      </c>
      <c r="L319" s="2">
        <v>251.73</v>
      </c>
      <c r="M319" t="s">
        <v>16</v>
      </c>
    </row>
    <row r="320" spans="1:13" x14ac:dyDescent="0.35">
      <c r="A320">
        <v>319</v>
      </c>
      <c r="B320">
        <v>15</v>
      </c>
      <c r="C320" t="str">
        <f>IF(Hospital[[#This Row],[Age]]&lt;=12,"Child",
IF(Hospital[[#This Row],[Age]]&lt;=19,"Teen",
IF(Hospital[[#This Row],[Age]]&lt;=35,"Young Adult",
IF(Hospital[[#This Row],[Age]]&lt;=59,"Adult",
"Senior"))))</f>
        <v>Teen</v>
      </c>
      <c r="D320" t="s">
        <v>5</v>
      </c>
      <c r="E320" s="1">
        <v>45352</v>
      </c>
      <c r="F320" s="1" t="str">
        <f t="shared" si="8"/>
        <v>March</v>
      </c>
      <c r="G320" t="s">
        <v>19</v>
      </c>
      <c r="H320" t="s">
        <v>2</v>
      </c>
      <c r="I320" t="s">
        <v>3</v>
      </c>
      <c r="J320" t="str">
        <f t="shared" si="9"/>
        <v>Error: Should be None</v>
      </c>
      <c r="K320">
        <v>4</v>
      </c>
      <c r="L320" s="2">
        <v>184.67</v>
      </c>
      <c r="M320" t="s">
        <v>8</v>
      </c>
    </row>
    <row r="321" spans="1:13" x14ac:dyDescent="0.35">
      <c r="A321">
        <v>320</v>
      </c>
      <c r="B321">
        <v>45</v>
      </c>
      <c r="C321" t="str">
        <f>IF(Hospital[[#This Row],[Age]]&lt;=12,"Child",
IF(Hospital[[#This Row],[Age]]&lt;=19,"Teen",
IF(Hospital[[#This Row],[Age]]&lt;=35,"Young Adult",
IF(Hospital[[#This Row],[Age]]&lt;=59,"Adult",
"Senior"))))</f>
        <v>Adult</v>
      </c>
      <c r="D321" t="s">
        <v>0</v>
      </c>
      <c r="E321" s="1">
        <v>45460</v>
      </c>
      <c r="F321" s="1" t="str">
        <f t="shared" si="8"/>
        <v>June</v>
      </c>
      <c r="G321" t="s">
        <v>11</v>
      </c>
      <c r="H321" t="s">
        <v>12</v>
      </c>
      <c r="I321" t="s">
        <v>20</v>
      </c>
      <c r="J321" t="str">
        <f t="shared" si="9"/>
        <v>Error: Should be None</v>
      </c>
      <c r="K321">
        <v>7</v>
      </c>
      <c r="L321" s="2">
        <v>173.08</v>
      </c>
      <c r="M321" t="s">
        <v>16</v>
      </c>
    </row>
    <row r="322" spans="1:13" x14ac:dyDescent="0.35">
      <c r="A322">
        <v>321</v>
      </c>
      <c r="B322">
        <v>15</v>
      </c>
      <c r="C322" t="str">
        <f>IF(Hospital[[#This Row],[Age]]&lt;=12,"Child",
IF(Hospital[[#This Row],[Age]]&lt;=19,"Teen",
IF(Hospital[[#This Row],[Age]]&lt;=35,"Young Adult",
IF(Hospital[[#This Row],[Age]]&lt;=59,"Adult",
"Senior"))))</f>
        <v>Teen</v>
      </c>
      <c r="D322" t="s">
        <v>5</v>
      </c>
      <c r="E322" s="1">
        <v>44972</v>
      </c>
      <c r="F322" s="1" t="str">
        <f t="shared" si="8"/>
        <v>February</v>
      </c>
      <c r="G322" t="s">
        <v>19</v>
      </c>
      <c r="H322" t="s">
        <v>7</v>
      </c>
      <c r="I322" t="s">
        <v>3</v>
      </c>
      <c r="J322" t="str">
        <f t="shared" si="9"/>
        <v>Error: Should be None</v>
      </c>
      <c r="K322">
        <v>10</v>
      </c>
      <c r="L322" s="2">
        <v>72.489999999999995</v>
      </c>
      <c r="M322" t="s">
        <v>8</v>
      </c>
    </row>
    <row r="323" spans="1:13" x14ac:dyDescent="0.35">
      <c r="A323">
        <v>322</v>
      </c>
      <c r="B323">
        <v>23</v>
      </c>
      <c r="C32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23" t="s">
        <v>5</v>
      </c>
      <c r="E323" s="1">
        <v>45176</v>
      </c>
      <c r="F323" s="1" t="str">
        <f t="shared" ref="F323:F386" si="10">TEXT(E323, "mmmm")</f>
        <v>September</v>
      </c>
      <c r="G323" t="s">
        <v>19</v>
      </c>
      <c r="H323" t="s">
        <v>9</v>
      </c>
      <c r="I323" t="s">
        <v>3</v>
      </c>
      <c r="J323" t="str">
        <f t="shared" ref="J323:J386" si="11">IF(OR(G323="UTI", G323="Pneumonia", G323="Typhoid"),
   IF(H323="None","Error: Should have antibiotics","OK"),
   IF(H323&lt;&gt;"None","Error: Should be None","OK"))</f>
        <v>Error: Should be None</v>
      </c>
      <c r="K323">
        <v>8</v>
      </c>
      <c r="L323" s="2">
        <v>224.66</v>
      </c>
      <c r="M323" t="s">
        <v>10</v>
      </c>
    </row>
    <row r="324" spans="1:13" x14ac:dyDescent="0.35">
      <c r="A324">
        <v>323</v>
      </c>
      <c r="B324">
        <v>81</v>
      </c>
      <c r="C324" t="str">
        <f>IF(Hospital[[#This Row],[Age]]&lt;=12,"Child",
IF(Hospital[[#This Row],[Age]]&lt;=19,"Teen",
IF(Hospital[[#This Row],[Age]]&lt;=35,"Young Adult",
IF(Hospital[[#This Row],[Age]]&lt;=59,"Adult",
"Senior"))))</f>
        <v>Senior</v>
      </c>
      <c r="D324" t="s">
        <v>5</v>
      </c>
      <c r="E324" s="1">
        <v>45164</v>
      </c>
      <c r="F324" s="1" t="str">
        <f t="shared" si="10"/>
        <v>August</v>
      </c>
      <c r="G324" t="s">
        <v>1</v>
      </c>
      <c r="H324" t="s">
        <v>12</v>
      </c>
      <c r="I324" t="s">
        <v>20</v>
      </c>
      <c r="J324" t="str">
        <f t="shared" si="11"/>
        <v>Error: Should be None</v>
      </c>
      <c r="K324">
        <v>6</v>
      </c>
      <c r="L324" s="2">
        <v>34.01</v>
      </c>
      <c r="M324" t="s">
        <v>8</v>
      </c>
    </row>
    <row r="325" spans="1:13" x14ac:dyDescent="0.35">
      <c r="A325">
        <v>324</v>
      </c>
      <c r="B325">
        <v>55</v>
      </c>
      <c r="C325" t="str">
        <f>IF(Hospital[[#This Row],[Age]]&lt;=12,"Child",
IF(Hospital[[#This Row],[Age]]&lt;=19,"Teen",
IF(Hospital[[#This Row],[Age]]&lt;=35,"Young Adult",
IF(Hospital[[#This Row],[Age]]&lt;=59,"Adult",
"Senior"))))</f>
        <v>Adult</v>
      </c>
      <c r="D325" t="s">
        <v>0</v>
      </c>
      <c r="E325" s="1">
        <v>45387</v>
      </c>
      <c r="F325" s="1" t="str">
        <f t="shared" si="10"/>
        <v>April</v>
      </c>
      <c r="G325" t="s">
        <v>11</v>
      </c>
      <c r="H325" t="s">
        <v>9</v>
      </c>
      <c r="I325" t="s">
        <v>3</v>
      </c>
      <c r="J325" t="str">
        <f t="shared" si="11"/>
        <v>Error: Should be None</v>
      </c>
      <c r="K325">
        <v>3</v>
      </c>
      <c r="L325" s="2">
        <v>118.78</v>
      </c>
      <c r="M325" t="s">
        <v>4</v>
      </c>
    </row>
    <row r="326" spans="1:13" x14ac:dyDescent="0.35">
      <c r="A326">
        <v>325</v>
      </c>
      <c r="B326">
        <v>69</v>
      </c>
      <c r="C326" t="str">
        <f>IF(Hospital[[#This Row],[Age]]&lt;=12,"Child",
IF(Hospital[[#This Row],[Age]]&lt;=19,"Teen",
IF(Hospital[[#This Row],[Age]]&lt;=35,"Young Adult",
IF(Hospital[[#This Row],[Age]]&lt;=59,"Adult",
"Senior"))))</f>
        <v>Senior</v>
      </c>
      <c r="D326" t="s">
        <v>5</v>
      </c>
      <c r="E326" s="1">
        <v>45518</v>
      </c>
      <c r="F326" s="1" t="str">
        <f t="shared" si="10"/>
        <v>August</v>
      </c>
      <c r="G326" t="s">
        <v>19</v>
      </c>
      <c r="H326" t="s">
        <v>2</v>
      </c>
      <c r="I326" t="s">
        <v>3</v>
      </c>
      <c r="J326" t="str">
        <f t="shared" si="11"/>
        <v>Error: Should be None</v>
      </c>
      <c r="K326">
        <v>5</v>
      </c>
      <c r="L326" s="2">
        <v>114.6</v>
      </c>
      <c r="M326" t="s">
        <v>4</v>
      </c>
    </row>
    <row r="327" spans="1:13" x14ac:dyDescent="0.35">
      <c r="A327">
        <v>326</v>
      </c>
      <c r="B327">
        <v>63</v>
      </c>
      <c r="C327" t="str">
        <f>IF(Hospital[[#This Row],[Age]]&lt;=12,"Child",
IF(Hospital[[#This Row],[Age]]&lt;=19,"Teen",
IF(Hospital[[#This Row],[Age]]&lt;=35,"Young Adult",
IF(Hospital[[#This Row],[Age]]&lt;=59,"Adult",
"Senior"))))</f>
        <v>Senior</v>
      </c>
      <c r="D327" t="s">
        <v>0</v>
      </c>
      <c r="E327" s="1">
        <v>45195</v>
      </c>
      <c r="F327" s="1" t="str">
        <f t="shared" si="10"/>
        <v>September</v>
      </c>
      <c r="G327" t="s">
        <v>6</v>
      </c>
      <c r="H327" t="s">
        <v>7</v>
      </c>
      <c r="I327" t="s">
        <v>3</v>
      </c>
      <c r="J327" t="str">
        <f t="shared" si="11"/>
        <v>Error: Should be None</v>
      </c>
      <c r="K327">
        <v>9</v>
      </c>
      <c r="L327" s="2">
        <v>208.42</v>
      </c>
      <c r="M327" t="s">
        <v>4</v>
      </c>
    </row>
    <row r="328" spans="1:13" x14ac:dyDescent="0.35">
      <c r="A328">
        <v>327</v>
      </c>
      <c r="B328">
        <v>59</v>
      </c>
      <c r="C328" t="str">
        <f>IF(Hospital[[#This Row],[Age]]&lt;=12,"Child",
IF(Hospital[[#This Row],[Age]]&lt;=19,"Teen",
IF(Hospital[[#This Row],[Age]]&lt;=35,"Young Adult",
IF(Hospital[[#This Row],[Age]]&lt;=59,"Adult",
"Senior"))))</f>
        <v>Adult</v>
      </c>
      <c r="D328" t="s">
        <v>5</v>
      </c>
      <c r="E328" s="1">
        <v>45283</v>
      </c>
      <c r="F328" s="1" t="str">
        <f t="shared" si="10"/>
        <v>December</v>
      </c>
      <c r="G328" t="s">
        <v>19</v>
      </c>
      <c r="H328" t="s">
        <v>14</v>
      </c>
      <c r="I328" t="s">
        <v>3</v>
      </c>
      <c r="J328" t="str">
        <f t="shared" si="11"/>
        <v>Error: Should be None</v>
      </c>
      <c r="K328">
        <v>9</v>
      </c>
      <c r="L328" s="2">
        <v>60.68</v>
      </c>
      <c r="M328" t="s">
        <v>8</v>
      </c>
    </row>
    <row r="329" spans="1:13" x14ac:dyDescent="0.35">
      <c r="A329">
        <v>328</v>
      </c>
      <c r="B329">
        <v>31</v>
      </c>
      <c r="C32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29" t="s">
        <v>0</v>
      </c>
      <c r="E329" s="1">
        <v>45247</v>
      </c>
      <c r="F329" s="1" t="str">
        <f t="shared" si="10"/>
        <v>November</v>
      </c>
      <c r="G329" t="s">
        <v>11</v>
      </c>
      <c r="H329" t="s">
        <v>2</v>
      </c>
      <c r="I329" t="s">
        <v>3</v>
      </c>
      <c r="J329" t="str">
        <f t="shared" si="11"/>
        <v>Error: Should be None</v>
      </c>
      <c r="K329">
        <v>2</v>
      </c>
      <c r="L329" s="2">
        <v>199.19</v>
      </c>
      <c r="M329" t="s">
        <v>8</v>
      </c>
    </row>
    <row r="330" spans="1:13" x14ac:dyDescent="0.35">
      <c r="A330">
        <v>329</v>
      </c>
      <c r="B330">
        <v>54</v>
      </c>
      <c r="C330" t="str">
        <f>IF(Hospital[[#This Row],[Age]]&lt;=12,"Child",
IF(Hospital[[#This Row],[Age]]&lt;=19,"Teen",
IF(Hospital[[#This Row],[Age]]&lt;=35,"Young Adult",
IF(Hospital[[#This Row],[Age]]&lt;=59,"Adult",
"Senior"))))</f>
        <v>Adult</v>
      </c>
      <c r="D330" t="s">
        <v>5</v>
      </c>
      <c r="E330" s="1">
        <v>45450</v>
      </c>
      <c r="F330" s="1" t="str">
        <f t="shared" si="10"/>
        <v>June</v>
      </c>
      <c r="G330" t="s">
        <v>6</v>
      </c>
      <c r="H330" t="s">
        <v>12</v>
      </c>
      <c r="I330" t="s">
        <v>20</v>
      </c>
      <c r="J330" t="str">
        <f t="shared" si="11"/>
        <v>Error: Should be None</v>
      </c>
      <c r="K330">
        <v>2</v>
      </c>
      <c r="L330" s="2">
        <v>253.6</v>
      </c>
      <c r="M330" t="s">
        <v>8</v>
      </c>
    </row>
    <row r="331" spans="1:13" x14ac:dyDescent="0.35">
      <c r="A331">
        <v>330</v>
      </c>
      <c r="B331">
        <v>63</v>
      </c>
      <c r="C331" t="str">
        <f>IF(Hospital[[#This Row],[Age]]&lt;=12,"Child",
IF(Hospital[[#This Row],[Age]]&lt;=19,"Teen",
IF(Hospital[[#This Row],[Age]]&lt;=35,"Young Adult",
IF(Hospital[[#This Row],[Age]]&lt;=59,"Adult",
"Senior"))))</f>
        <v>Senior</v>
      </c>
      <c r="D331" t="s">
        <v>0</v>
      </c>
      <c r="E331" s="1">
        <v>45495</v>
      </c>
      <c r="F331" s="1" t="str">
        <f t="shared" si="10"/>
        <v>July</v>
      </c>
      <c r="G331" t="s">
        <v>1</v>
      </c>
      <c r="H331" t="s">
        <v>17</v>
      </c>
      <c r="I331" t="s">
        <v>13</v>
      </c>
      <c r="J331" t="str">
        <f t="shared" si="11"/>
        <v>Error: Should be None</v>
      </c>
      <c r="K331">
        <v>5</v>
      </c>
      <c r="L331" s="2">
        <v>424.15</v>
      </c>
      <c r="M331" t="s">
        <v>4</v>
      </c>
    </row>
    <row r="332" spans="1:13" x14ac:dyDescent="0.35">
      <c r="A332">
        <v>331</v>
      </c>
      <c r="B332">
        <v>63</v>
      </c>
      <c r="C332" t="str">
        <f>IF(Hospital[[#This Row],[Age]]&lt;=12,"Child",
IF(Hospital[[#This Row],[Age]]&lt;=19,"Teen",
IF(Hospital[[#This Row],[Age]]&lt;=35,"Young Adult",
IF(Hospital[[#This Row],[Age]]&lt;=59,"Adult",
"Senior"))))</f>
        <v>Senior</v>
      </c>
      <c r="D332" t="s">
        <v>5</v>
      </c>
      <c r="E332" s="1">
        <v>45294</v>
      </c>
      <c r="F332" s="1" t="str">
        <f t="shared" si="10"/>
        <v>January</v>
      </c>
      <c r="G332" t="s">
        <v>1</v>
      </c>
      <c r="H332" t="s">
        <v>2</v>
      </c>
      <c r="I332" t="s">
        <v>3</v>
      </c>
      <c r="J332" t="str">
        <f t="shared" si="11"/>
        <v>Error: Should be None</v>
      </c>
      <c r="K332">
        <v>6</v>
      </c>
      <c r="L332" s="2">
        <v>482.64</v>
      </c>
      <c r="M332" t="s">
        <v>10</v>
      </c>
    </row>
    <row r="333" spans="1:13" x14ac:dyDescent="0.35">
      <c r="A333">
        <v>332</v>
      </c>
      <c r="B333">
        <v>63</v>
      </c>
      <c r="C333" t="str">
        <f>IF(Hospital[[#This Row],[Age]]&lt;=12,"Child",
IF(Hospital[[#This Row],[Age]]&lt;=19,"Teen",
IF(Hospital[[#This Row],[Age]]&lt;=35,"Young Adult",
IF(Hospital[[#This Row],[Age]]&lt;=59,"Adult",
"Senior"))))</f>
        <v>Senior</v>
      </c>
      <c r="D333" t="s">
        <v>0</v>
      </c>
      <c r="E333" s="1">
        <v>45345</v>
      </c>
      <c r="F333" s="1" t="str">
        <f t="shared" si="10"/>
        <v>February</v>
      </c>
      <c r="G333" t="s">
        <v>6</v>
      </c>
      <c r="H333" t="s">
        <v>7</v>
      </c>
      <c r="I333" t="s">
        <v>3</v>
      </c>
      <c r="J333" t="str">
        <f t="shared" si="11"/>
        <v>Error: Should be None</v>
      </c>
      <c r="K333">
        <v>7</v>
      </c>
      <c r="L333" s="2">
        <v>100.28</v>
      </c>
      <c r="M333" t="s">
        <v>4</v>
      </c>
    </row>
    <row r="334" spans="1:13" x14ac:dyDescent="0.35">
      <c r="A334">
        <v>333</v>
      </c>
      <c r="B334">
        <v>5</v>
      </c>
      <c r="C334" t="str">
        <f>IF(Hospital[[#This Row],[Age]]&lt;=12,"Child",
IF(Hospital[[#This Row],[Age]]&lt;=19,"Teen",
IF(Hospital[[#This Row],[Age]]&lt;=35,"Young Adult",
IF(Hospital[[#This Row],[Age]]&lt;=59,"Adult",
"Senior"))))</f>
        <v>Child</v>
      </c>
      <c r="D334" t="s">
        <v>0</v>
      </c>
      <c r="E334" s="1">
        <v>45152</v>
      </c>
      <c r="F334" s="1" t="str">
        <f t="shared" si="10"/>
        <v>August</v>
      </c>
      <c r="G334" t="s">
        <v>1</v>
      </c>
      <c r="H334" t="s">
        <v>14</v>
      </c>
      <c r="I334" t="s">
        <v>3</v>
      </c>
      <c r="J334" t="str">
        <f t="shared" si="11"/>
        <v>Error: Should be None</v>
      </c>
      <c r="K334">
        <v>4</v>
      </c>
      <c r="L334" s="2">
        <v>100.74</v>
      </c>
      <c r="M334" t="s">
        <v>10</v>
      </c>
    </row>
    <row r="335" spans="1:13" x14ac:dyDescent="0.35">
      <c r="A335">
        <v>334</v>
      </c>
      <c r="B335">
        <v>64</v>
      </c>
      <c r="C335" t="str">
        <f>IF(Hospital[[#This Row],[Age]]&lt;=12,"Child",
IF(Hospital[[#This Row],[Age]]&lt;=19,"Teen",
IF(Hospital[[#This Row],[Age]]&lt;=35,"Young Adult",
IF(Hospital[[#This Row],[Age]]&lt;=59,"Adult",
"Senior"))))</f>
        <v>Senior</v>
      </c>
      <c r="D335" t="s">
        <v>5</v>
      </c>
      <c r="E335" s="1">
        <v>45506</v>
      </c>
      <c r="F335" s="1" t="str">
        <f t="shared" si="10"/>
        <v>August</v>
      </c>
      <c r="G335" t="s">
        <v>11</v>
      </c>
      <c r="H335" t="s">
        <v>7</v>
      </c>
      <c r="I335" t="s">
        <v>3</v>
      </c>
      <c r="J335" t="str">
        <f t="shared" si="11"/>
        <v>Error: Should be None</v>
      </c>
      <c r="K335">
        <v>4</v>
      </c>
      <c r="L335" s="2">
        <v>392.05</v>
      </c>
      <c r="M335" t="s">
        <v>16</v>
      </c>
    </row>
    <row r="336" spans="1:13" x14ac:dyDescent="0.35">
      <c r="A336">
        <v>335</v>
      </c>
      <c r="B336">
        <v>57</v>
      </c>
      <c r="C336" t="str">
        <f>IF(Hospital[[#This Row],[Age]]&lt;=12,"Child",
IF(Hospital[[#This Row],[Age]]&lt;=19,"Teen",
IF(Hospital[[#This Row],[Age]]&lt;=35,"Young Adult",
IF(Hospital[[#This Row],[Age]]&lt;=59,"Adult",
"Senior"))))</f>
        <v>Adult</v>
      </c>
      <c r="D336" t="s">
        <v>5</v>
      </c>
      <c r="E336" s="1">
        <v>45482</v>
      </c>
      <c r="F336" s="1" t="str">
        <f t="shared" si="10"/>
        <v>July</v>
      </c>
      <c r="G336" t="s">
        <v>6</v>
      </c>
      <c r="H336" t="s">
        <v>2</v>
      </c>
      <c r="I336" t="s">
        <v>3</v>
      </c>
      <c r="J336" t="str">
        <f t="shared" si="11"/>
        <v>Error: Should be None</v>
      </c>
      <c r="K336">
        <v>1</v>
      </c>
      <c r="L336" s="2">
        <v>373.27</v>
      </c>
      <c r="M336" t="s">
        <v>8</v>
      </c>
    </row>
    <row r="337" spans="1:13" x14ac:dyDescent="0.35">
      <c r="A337">
        <v>336</v>
      </c>
      <c r="B337">
        <v>58</v>
      </c>
      <c r="C337" t="str">
        <f>IF(Hospital[[#This Row],[Age]]&lt;=12,"Child",
IF(Hospital[[#This Row],[Age]]&lt;=19,"Teen",
IF(Hospital[[#This Row],[Age]]&lt;=35,"Young Adult",
IF(Hospital[[#This Row],[Age]]&lt;=59,"Adult",
"Senior"))))</f>
        <v>Adult</v>
      </c>
      <c r="D337" t="s">
        <v>0</v>
      </c>
      <c r="E337" s="1">
        <v>45231</v>
      </c>
      <c r="F337" s="1" t="str">
        <f t="shared" si="10"/>
        <v>November</v>
      </c>
      <c r="G337" t="s">
        <v>19</v>
      </c>
      <c r="H337" t="s">
        <v>2</v>
      </c>
      <c r="I337" t="s">
        <v>3</v>
      </c>
      <c r="J337" t="str">
        <f t="shared" si="11"/>
        <v>Error: Should be None</v>
      </c>
      <c r="K337">
        <v>1</v>
      </c>
      <c r="L337" s="2">
        <v>230.75</v>
      </c>
      <c r="M337" t="s">
        <v>4</v>
      </c>
    </row>
    <row r="338" spans="1:13" x14ac:dyDescent="0.35">
      <c r="A338">
        <v>337</v>
      </c>
      <c r="B338">
        <v>76</v>
      </c>
      <c r="C338" t="str">
        <f>IF(Hospital[[#This Row],[Age]]&lt;=12,"Child",
IF(Hospital[[#This Row],[Age]]&lt;=19,"Teen",
IF(Hospital[[#This Row],[Age]]&lt;=35,"Young Adult",
IF(Hospital[[#This Row],[Age]]&lt;=59,"Adult",
"Senior"))))</f>
        <v>Senior</v>
      </c>
      <c r="D338" t="s">
        <v>0</v>
      </c>
      <c r="E338" s="1">
        <v>45169</v>
      </c>
      <c r="F338" s="1" t="str">
        <f t="shared" si="10"/>
        <v>August</v>
      </c>
      <c r="G338" t="s">
        <v>6</v>
      </c>
      <c r="H338" t="s">
        <v>17</v>
      </c>
      <c r="I338" t="s">
        <v>13</v>
      </c>
      <c r="J338" t="str">
        <f t="shared" si="11"/>
        <v>Error: Should be None</v>
      </c>
      <c r="K338">
        <v>9</v>
      </c>
      <c r="L338" s="2">
        <v>86.83</v>
      </c>
      <c r="M338" t="s">
        <v>8</v>
      </c>
    </row>
    <row r="339" spans="1:13" x14ac:dyDescent="0.35">
      <c r="A339">
        <v>338</v>
      </c>
      <c r="B339">
        <v>73</v>
      </c>
      <c r="C339" t="str">
        <f>IF(Hospital[[#This Row],[Age]]&lt;=12,"Child",
IF(Hospital[[#This Row],[Age]]&lt;=19,"Teen",
IF(Hospital[[#This Row],[Age]]&lt;=35,"Young Adult",
IF(Hospital[[#This Row],[Age]]&lt;=59,"Adult",
"Senior"))))</f>
        <v>Senior</v>
      </c>
      <c r="D339" t="s">
        <v>0</v>
      </c>
      <c r="E339" s="1">
        <v>45138</v>
      </c>
      <c r="F339" s="1" t="str">
        <f t="shared" si="10"/>
        <v>July</v>
      </c>
      <c r="G339" t="s">
        <v>19</v>
      </c>
      <c r="H339" t="s">
        <v>2</v>
      </c>
      <c r="I339" t="s">
        <v>3</v>
      </c>
      <c r="J339" t="str">
        <f t="shared" si="11"/>
        <v>Error: Should be None</v>
      </c>
      <c r="K339">
        <v>9</v>
      </c>
      <c r="L339" s="2">
        <v>278.61</v>
      </c>
      <c r="M339" t="s">
        <v>16</v>
      </c>
    </row>
    <row r="340" spans="1:13" x14ac:dyDescent="0.35">
      <c r="A340">
        <v>339</v>
      </c>
      <c r="B340">
        <v>38</v>
      </c>
      <c r="C340" t="str">
        <f>IF(Hospital[[#This Row],[Age]]&lt;=12,"Child",
IF(Hospital[[#This Row],[Age]]&lt;=19,"Teen",
IF(Hospital[[#This Row],[Age]]&lt;=35,"Young Adult",
IF(Hospital[[#This Row],[Age]]&lt;=59,"Adult",
"Senior"))))</f>
        <v>Adult</v>
      </c>
      <c r="D340" t="s">
        <v>0</v>
      </c>
      <c r="E340" s="1">
        <v>45647</v>
      </c>
      <c r="F340" s="1" t="str">
        <f t="shared" si="10"/>
        <v>December</v>
      </c>
      <c r="G340" t="s">
        <v>11</v>
      </c>
      <c r="H340" t="s">
        <v>14</v>
      </c>
      <c r="I340" t="s">
        <v>13</v>
      </c>
      <c r="J340" t="str">
        <f t="shared" si="11"/>
        <v>Error: Should be None</v>
      </c>
      <c r="K340">
        <v>6</v>
      </c>
      <c r="L340" s="2">
        <v>461.01</v>
      </c>
      <c r="M340" t="s">
        <v>16</v>
      </c>
    </row>
    <row r="341" spans="1:13" x14ac:dyDescent="0.35">
      <c r="A341">
        <v>340</v>
      </c>
      <c r="B341">
        <v>17</v>
      </c>
      <c r="C341" t="str">
        <f>IF(Hospital[[#This Row],[Age]]&lt;=12,"Child",
IF(Hospital[[#This Row],[Age]]&lt;=19,"Teen",
IF(Hospital[[#This Row],[Age]]&lt;=35,"Young Adult",
IF(Hospital[[#This Row],[Age]]&lt;=59,"Adult",
"Senior"))))</f>
        <v>Teen</v>
      </c>
      <c r="D341" t="s">
        <v>5</v>
      </c>
      <c r="E341" s="1">
        <v>45598</v>
      </c>
      <c r="F341" s="1" t="str">
        <f t="shared" si="10"/>
        <v>November</v>
      </c>
      <c r="G341" t="s">
        <v>1</v>
      </c>
      <c r="H341" t="s">
        <v>17</v>
      </c>
      <c r="I341" t="s">
        <v>18</v>
      </c>
      <c r="J341" t="str">
        <f t="shared" si="11"/>
        <v>Error: Should be None</v>
      </c>
      <c r="K341">
        <v>3</v>
      </c>
      <c r="L341" s="2">
        <v>385.51</v>
      </c>
      <c r="M341" t="s">
        <v>10</v>
      </c>
    </row>
    <row r="342" spans="1:13" x14ac:dyDescent="0.35">
      <c r="A342">
        <v>341</v>
      </c>
      <c r="B342">
        <v>74</v>
      </c>
      <c r="C342" t="str">
        <f>IF(Hospital[[#This Row],[Age]]&lt;=12,"Child",
IF(Hospital[[#This Row],[Age]]&lt;=19,"Teen",
IF(Hospital[[#This Row],[Age]]&lt;=35,"Young Adult",
IF(Hospital[[#This Row],[Age]]&lt;=59,"Adult",
"Senior"))))</f>
        <v>Senior</v>
      </c>
      <c r="D342" t="s">
        <v>0</v>
      </c>
      <c r="E342" s="1">
        <v>45428</v>
      </c>
      <c r="F342" s="1" t="str">
        <f t="shared" si="10"/>
        <v>May</v>
      </c>
      <c r="G342" t="s">
        <v>6</v>
      </c>
      <c r="H342" t="s">
        <v>17</v>
      </c>
      <c r="I342" t="s">
        <v>20</v>
      </c>
      <c r="J342" t="str">
        <f t="shared" si="11"/>
        <v>Error: Should be None</v>
      </c>
      <c r="K342">
        <v>7</v>
      </c>
      <c r="L342" s="2">
        <v>56.25</v>
      </c>
      <c r="M342" t="s">
        <v>4</v>
      </c>
    </row>
    <row r="343" spans="1:13" x14ac:dyDescent="0.35">
      <c r="A343">
        <v>342</v>
      </c>
      <c r="B343">
        <v>36</v>
      </c>
      <c r="C343" t="str">
        <f>IF(Hospital[[#This Row],[Age]]&lt;=12,"Child",
IF(Hospital[[#This Row],[Age]]&lt;=19,"Teen",
IF(Hospital[[#This Row],[Age]]&lt;=35,"Young Adult",
IF(Hospital[[#This Row],[Age]]&lt;=59,"Adult",
"Senior"))))</f>
        <v>Adult</v>
      </c>
      <c r="D343" t="s">
        <v>0</v>
      </c>
      <c r="E343" s="1">
        <v>45339</v>
      </c>
      <c r="F343" s="1" t="str">
        <f t="shared" si="10"/>
        <v>February</v>
      </c>
      <c r="G343" t="s">
        <v>6</v>
      </c>
      <c r="H343" t="s">
        <v>9</v>
      </c>
      <c r="I343" t="s">
        <v>3</v>
      </c>
      <c r="J343" t="str">
        <f t="shared" si="11"/>
        <v>Error: Should be None</v>
      </c>
      <c r="K343">
        <v>7</v>
      </c>
      <c r="L343" s="2">
        <v>177.1</v>
      </c>
      <c r="M343" t="s">
        <v>4</v>
      </c>
    </row>
    <row r="344" spans="1:13" x14ac:dyDescent="0.35">
      <c r="A344">
        <v>343</v>
      </c>
      <c r="B344">
        <v>59</v>
      </c>
      <c r="C344" t="str">
        <f>IF(Hospital[[#This Row],[Age]]&lt;=12,"Child",
IF(Hospital[[#This Row],[Age]]&lt;=19,"Teen",
IF(Hospital[[#This Row],[Age]]&lt;=35,"Young Adult",
IF(Hospital[[#This Row],[Age]]&lt;=59,"Adult",
"Senior"))))</f>
        <v>Adult</v>
      </c>
      <c r="D344" t="s">
        <v>0</v>
      </c>
      <c r="E344" s="1">
        <v>45022</v>
      </c>
      <c r="F344" s="1" t="str">
        <f t="shared" si="10"/>
        <v>April</v>
      </c>
      <c r="G344" t="s">
        <v>11</v>
      </c>
      <c r="H344" t="s">
        <v>7</v>
      </c>
      <c r="I344" t="s">
        <v>3</v>
      </c>
      <c r="J344" t="str">
        <f t="shared" si="11"/>
        <v>Error: Should be None</v>
      </c>
      <c r="K344">
        <v>8</v>
      </c>
      <c r="L344" s="2">
        <v>210.9</v>
      </c>
      <c r="M344" t="s">
        <v>10</v>
      </c>
    </row>
    <row r="345" spans="1:13" x14ac:dyDescent="0.35">
      <c r="A345">
        <v>344</v>
      </c>
      <c r="B345">
        <v>35</v>
      </c>
      <c r="C34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45" t="s">
        <v>0</v>
      </c>
      <c r="E345" s="1">
        <v>45143</v>
      </c>
      <c r="F345" s="1" t="str">
        <f t="shared" si="10"/>
        <v>August</v>
      </c>
      <c r="G345" t="s">
        <v>19</v>
      </c>
      <c r="H345" t="s">
        <v>12</v>
      </c>
      <c r="I345" t="s">
        <v>18</v>
      </c>
      <c r="J345" t="str">
        <f t="shared" si="11"/>
        <v>Error: Should be None</v>
      </c>
      <c r="K345">
        <v>8</v>
      </c>
      <c r="L345" s="2">
        <v>297.41000000000003</v>
      </c>
      <c r="M345" t="s">
        <v>10</v>
      </c>
    </row>
    <row r="346" spans="1:13" x14ac:dyDescent="0.35">
      <c r="A346">
        <v>345</v>
      </c>
      <c r="B346">
        <v>7</v>
      </c>
      <c r="C346" t="str">
        <f>IF(Hospital[[#This Row],[Age]]&lt;=12,"Child",
IF(Hospital[[#This Row],[Age]]&lt;=19,"Teen",
IF(Hospital[[#This Row],[Age]]&lt;=35,"Young Adult",
IF(Hospital[[#This Row],[Age]]&lt;=59,"Adult",
"Senior"))))</f>
        <v>Child</v>
      </c>
      <c r="D346" t="s">
        <v>5</v>
      </c>
      <c r="E346" s="1">
        <v>45278</v>
      </c>
      <c r="F346" s="1" t="str">
        <f t="shared" si="10"/>
        <v>December</v>
      </c>
      <c r="G346" t="s">
        <v>11</v>
      </c>
      <c r="H346" t="s">
        <v>7</v>
      </c>
      <c r="I346" t="s">
        <v>3</v>
      </c>
      <c r="J346" t="str">
        <f t="shared" si="11"/>
        <v>Error: Should be None</v>
      </c>
      <c r="K346">
        <v>10</v>
      </c>
      <c r="L346" s="2">
        <v>396.27</v>
      </c>
      <c r="M346" t="s">
        <v>10</v>
      </c>
    </row>
    <row r="347" spans="1:13" x14ac:dyDescent="0.35">
      <c r="A347">
        <v>346</v>
      </c>
      <c r="B347">
        <v>21</v>
      </c>
      <c r="C347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47" t="s">
        <v>0</v>
      </c>
      <c r="E347" s="1">
        <v>44943</v>
      </c>
      <c r="F347" s="1" t="str">
        <f t="shared" si="10"/>
        <v>January</v>
      </c>
      <c r="G347" t="s">
        <v>6</v>
      </c>
      <c r="H347" t="s">
        <v>2</v>
      </c>
      <c r="I347" t="s">
        <v>3</v>
      </c>
      <c r="J347" t="str">
        <f t="shared" si="11"/>
        <v>Error: Should be None</v>
      </c>
      <c r="K347">
        <v>0</v>
      </c>
      <c r="L347" s="2">
        <v>496.08</v>
      </c>
      <c r="M347" t="s">
        <v>10</v>
      </c>
    </row>
    <row r="348" spans="1:13" x14ac:dyDescent="0.35">
      <c r="A348">
        <v>347</v>
      </c>
      <c r="B348">
        <v>17</v>
      </c>
      <c r="C348" t="str">
        <f>IF(Hospital[[#This Row],[Age]]&lt;=12,"Child",
IF(Hospital[[#This Row],[Age]]&lt;=19,"Teen",
IF(Hospital[[#This Row],[Age]]&lt;=35,"Young Adult",
IF(Hospital[[#This Row],[Age]]&lt;=59,"Adult",
"Senior"))))</f>
        <v>Teen</v>
      </c>
      <c r="D348" t="s">
        <v>0</v>
      </c>
      <c r="E348" s="1">
        <v>45134</v>
      </c>
      <c r="F348" s="1" t="str">
        <f t="shared" si="10"/>
        <v>July</v>
      </c>
      <c r="G348" t="s">
        <v>1</v>
      </c>
      <c r="H348" t="s">
        <v>7</v>
      </c>
      <c r="I348" t="s">
        <v>3</v>
      </c>
      <c r="J348" t="str">
        <f t="shared" si="11"/>
        <v>Error: Should be None</v>
      </c>
      <c r="K348">
        <v>4</v>
      </c>
      <c r="L348" s="2">
        <v>64.8</v>
      </c>
      <c r="M348" t="s">
        <v>16</v>
      </c>
    </row>
    <row r="349" spans="1:13" x14ac:dyDescent="0.35">
      <c r="A349">
        <v>348</v>
      </c>
      <c r="B349">
        <v>48</v>
      </c>
      <c r="C349" t="str">
        <f>IF(Hospital[[#This Row],[Age]]&lt;=12,"Child",
IF(Hospital[[#This Row],[Age]]&lt;=19,"Teen",
IF(Hospital[[#This Row],[Age]]&lt;=35,"Young Adult",
IF(Hospital[[#This Row],[Age]]&lt;=59,"Adult",
"Senior"))))</f>
        <v>Adult</v>
      </c>
      <c r="D349" t="s">
        <v>5</v>
      </c>
      <c r="E349" s="1">
        <v>45183</v>
      </c>
      <c r="F349" s="1" t="str">
        <f t="shared" si="10"/>
        <v>September</v>
      </c>
      <c r="G349" t="s">
        <v>11</v>
      </c>
      <c r="H349" t="s">
        <v>2</v>
      </c>
      <c r="I349" t="s">
        <v>3</v>
      </c>
      <c r="J349" t="str">
        <f t="shared" si="11"/>
        <v>Error: Should be None</v>
      </c>
      <c r="K349">
        <v>6</v>
      </c>
      <c r="L349" s="2">
        <v>320.29000000000002</v>
      </c>
      <c r="M349" t="s">
        <v>8</v>
      </c>
    </row>
    <row r="350" spans="1:13" x14ac:dyDescent="0.35">
      <c r="A350">
        <v>349</v>
      </c>
      <c r="B350">
        <v>12</v>
      </c>
      <c r="C350" t="str">
        <f>IF(Hospital[[#This Row],[Age]]&lt;=12,"Child",
IF(Hospital[[#This Row],[Age]]&lt;=19,"Teen",
IF(Hospital[[#This Row],[Age]]&lt;=35,"Young Adult",
IF(Hospital[[#This Row],[Age]]&lt;=59,"Adult",
"Senior"))))</f>
        <v>Child</v>
      </c>
      <c r="D350" t="s">
        <v>5</v>
      </c>
      <c r="E350" s="1">
        <v>45366</v>
      </c>
      <c r="F350" s="1" t="str">
        <f t="shared" si="10"/>
        <v>March</v>
      </c>
      <c r="G350" t="s">
        <v>11</v>
      </c>
      <c r="H350" t="s">
        <v>7</v>
      </c>
      <c r="I350" t="s">
        <v>3</v>
      </c>
      <c r="J350" t="str">
        <f t="shared" si="11"/>
        <v>Error: Should be None</v>
      </c>
      <c r="K350">
        <v>3</v>
      </c>
      <c r="L350" s="2">
        <v>248.87</v>
      </c>
      <c r="M350" t="s">
        <v>8</v>
      </c>
    </row>
    <row r="351" spans="1:13" x14ac:dyDescent="0.35">
      <c r="A351">
        <v>350</v>
      </c>
      <c r="B351">
        <v>67</v>
      </c>
      <c r="C351" t="str">
        <f>IF(Hospital[[#This Row],[Age]]&lt;=12,"Child",
IF(Hospital[[#This Row],[Age]]&lt;=19,"Teen",
IF(Hospital[[#This Row],[Age]]&lt;=35,"Young Adult",
IF(Hospital[[#This Row],[Age]]&lt;=59,"Adult",
"Senior"))))</f>
        <v>Senior</v>
      </c>
      <c r="D351" t="s">
        <v>0</v>
      </c>
      <c r="E351" s="1">
        <v>45534</v>
      </c>
      <c r="F351" s="1" t="str">
        <f t="shared" si="10"/>
        <v>August</v>
      </c>
      <c r="G351" t="s">
        <v>11</v>
      </c>
      <c r="H351" t="s">
        <v>17</v>
      </c>
      <c r="I351" t="s">
        <v>15</v>
      </c>
      <c r="J351" t="str">
        <f t="shared" si="11"/>
        <v>Error: Should be None</v>
      </c>
      <c r="K351">
        <v>5</v>
      </c>
      <c r="L351" s="2">
        <v>412.21</v>
      </c>
      <c r="M351" t="s">
        <v>10</v>
      </c>
    </row>
    <row r="352" spans="1:13" x14ac:dyDescent="0.35">
      <c r="A352">
        <v>351</v>
      </c>
      <c r="B352">
        <v>62</v>
      </c>
      <c r="C352" t="str">
        <f>IF(Hospital[[#This Row],[Age]]&lt;=12,"Child",
IF(Hospital[[#This Row],[Age]]&lt;=19,"Teen",
IF(Hospital[[#This Row],[Age]]&lt;=35,"Young Adult",
IF(Hospital[[#This Row],[Age]]&lt;=59,"Adult",
"Senior"))))</f>
        <v>Senior</v>
      </c>
      <c r="D352" t="s">
        <v>5</v>
      </c>
      <c r="E352" s="1">
        <v>45637</v>
      </c>
      <c r="F352" s="1" t="str">
        <f t="shared" si="10"/>
        <v>December</v>
      </c>
      <c r="G352" t="s">
        <v>1</v>
      </c>
      <c r="H352" t="s">
        <v>17</v>
      </c>
      <c r="I352" t="s">
        <v>20</v>
      </c>
      <c r="J352" t="str">
        <f t="shared" si="11"/>
        <v>Error: Should be None</v>
      </c>
      <c r="K352">
        <v>1</v>
      </c>
      <c r="L352" s="2">
        <v>370.77</v>
      </c>
      <c r="M352" t="s">
        <v>4</v>
      </c>
    </row>
    <row r="353" spans="1:13" x14ac:dyDescent="0.35">
      <c r="A353">
        <v>352</v>
      </c>
      <c r="B353">
        <v>48</v>
      </c>
      <c r="C353" t="str">
        <f>IF(Hospital[[#This Row],[Age]]&lt;=12,"Child",
IF(Hospital[[#This Row],[Age]]&lt;=19,"Teen",
IF(Hospital[[#This Row],[Age]]&lt;=35,"Young Adult",
IF(Hospital[[#This Row],[Age]]&lt;=59,"Adult",
"Senior"))))</f>
        <v>Adult</v>
      </c>
      <c r="D353" t="s">
        <v>0</v>
      </c>
      <c r="E353" s="1">
        <v>45032</v>
      </c>
      <c r="F353" s="1" t="str">
        <f t="shared" si="10"/>
        <v>April</v>
      </c>
      <c r="G353" t="s">
        <v>1</v>
      </c>
      <c r="H353" t="s">
        <v>14</v>
      </c>
      <c r="I353" t="s">
        <v>20</v>
      </c>
      <c r="J353" t="str">
        <f t="shared" si="11"/>
        <v>Error: Should be None</v>
      </c>
      <c r="K353">
        <v>2</v>
      </c>
      <c r="L353" s="2">
        <v>327.96</v>
      </c>
      <c r="M353" t="s">
        <v>8</v>
      </c>
    </row>
    <row r="354" spans="1:13" x14ac:dyDescent="0.35">
      <c r="A354">
        <v>353</v>
      </c>
      <c r="B354">
        <v>73</v>
      </c>
      <c r="C354" t="str">
        <f>IF(Hospital[[#This Row],[Age]]&lt;=12,"Child",
IF(Hospital[[#This Row],[Age]]&lt;=19,"Teen",
IF(Hospital[[#This Row],[Age]]&lt;=35,"Young Adult",
IF(Hospital[[#This Row],[Age]]&lt;=59,"Adult",
"Senior"))))</f>
        <v>Senior</v>
      </c>
      <c r="D354" t="s">
        <v>5</v>
      </c>
      <c r="E354" s="1">
        <v>44997</v>
      </c>
      <c r="F354" s="1" t="str">
        <f t="shared" si="10"/>
        <v>March</v>
      </c>
      <c r="G354" t="s">
        <v>1</v>
      </c>
      <c r="H354" t="s">
        <v>9</v>
      </c>
      <c r="I354" t="s">
        <v>3</v>
      </c>
      <c r="J354" t="str">
        <f t="shared" si="11"/>
        <v>Error: Should be None</v>
      </c>
      <c r="K354">
        <v>7</v>
      </c>
      <c r="L354" s="2">
        <v>188.57</v>
      </c>
      <c r="M354" t="s">
        <v>8</v>
      </c>
    </row>
    <row r="355" spans="1:13" x14ac:dyDescent="0.35">
      <c r="A355">
        <v>354</v>
      </c>
      <c r="B355">
        <v>20</v>
      </c>
      <c r="C35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55" t="s">
        <v>0</v>
      </c>
      <c r="E355" s="1">
        <v>45570</v>
      </c>
      <c r="F355" s="1" t="str">
        <f t="shared" si="10"/>
        <v>October</v>
      </c>
      <c r="G355" t="s">
        <v>6</v>
      </c>
      <c r="H355" t="s">
        <v>7</v>
      </c>
      <c r="I355" t="s">
        <v>3</v>
      </c>
      <c r="J355" t="str">
        <f t="shared" si="11"/>
        <v>Error: Should be None</v>
      </c>
      <c r="K355">
        <v>3</v>
      </c>
      <c r="L355" s="2">
        <v>61.61</v>
      </c>
      <c r="M355" t="s">
        <v>4</v>
      </c>
    </row>
    <row r="356" spans="1:13" x14ac:dyDescent="0.35">
      <c r="A356">
        <v>355</v>
      </c>
      <c r="B356">
        <v>76</v>
      </c>
      <c r="C356" t="str">
        <f>IF(Hospital[[#This Row],[Age]]&lt;=12,"Child",
IF(Hospital[[#This Row],[Age]]&lt;=19,"Teen",
IF(Hospital[[#This Row],[Age]]&lt;=35,"Young Adult",
IF(Hospital[[#This Row],[Age]]&lt;=59,"Adult",
"Senior"))))</f>
        <v>Senior</v>
      </c>
      <c r="D356" t="s">
        <v>0</v>
      </c>
      <c r="E356" s="1">
        <v>45070</v>
      </c>
      <c r="F356" s="1" t="str">
        <f t="shared" si="10"/>
        <v>May</v>
      </c>
      <c r="G356" t="s">
        <v>19</v>
      </c>
      <c r="H356" t="s">
        <v>2</v>
      </c>
      <c r="I356" t="s">
        <v>3</v>
      </c>
      <c r="J356" t="str">
        <f t="shared" si="11"/>
        <v>Error: Should be None</v>
      </c>
      <c r="K356">
        <v>6</v>
      </c>
      <c r="L356" s="2">
        <v>170.96</v>
      </c>
      <c r="M356" t="s">
        <v>8</v>
      </c>
    </row>
    <row r="357" spans="1:13" x14ac:dyDescent="0.35">
      <c r="A357">
        <v>356</v>
      </c>
      <c r="B357">
        <v>83</v>
      </c>
      <c r="C357" t="str">
        <f>IF(Hospital[[#This Row],[Age]]&lt;=12,"Child",
IF(Hospital[[#This Row],[Age]]&lt;=19,"Teen",
IF(Hospital[[#This Row],[Age]]&lt;=35,"Young Adult",
IF(Hospital[[#This Row],[Age]]&lt;=59,"Adult",
"Senior"))))</f>
        <v>Senior</v>
      </c>
      <c r="D357" t="s">
        <v>5</v>
      </c>
      <c r="E357" s="1">
        <v>45180</v>
      </c>
      <c r="F357" s="1" t="str">
        <f t="shared" si="10"/>
        <v>September</v>
      </c>
      <c r="G357" t="s">
        <v>1</v>
      </c>
      <c r="H357" t="s">
        <v>14</v>
      </c>
      <c r="I357" t="s">
        <v>3</v>
      </c>
      <c r="J357" t="str">
        <f t="shared" si="11"/>
        <v>Error: Should be None</v>
      </c>
      <c r="K357">
        <v>9</v>
      </c>
      <c r="L357" s="2">
        <v>308</v>
      </c>
      <c r="M357" t="s">
        <v>16</v>
      </c>
    </row>
    <row r="358" spans="1:13" x14ac:dyDescent="0.35">
      <c r="A358">
        <v>357</v>
      </c>
      <c r="B358">
        <v>85</v>
      </c>
      <c r="C358" t="str">
        <f>IF(Hospital[[#This Row],[Age]]&lt;=12,"Child",
IF(Hospital[[#This Row],[Age]]&lt;=19,"Teen",
IF(Hospital[[#This Row],[Age]]&lt;=35,"Young Adult",
IF(Hospital[[#This Row],[Age]]&lt;=59,"Adult",
"Senior"))))</f>
        <v>Senior</v>
      </c>
      <c r="D358" t="s">
        <v>0</v>
      </c>
      <c r="E358" s="1">
        <v>45634</v>
      </c>
      <c r="F358" s="1" t="str">
        <f t="shared" si="10"/>
        <v>December</v>
      </c>
      <c r="G358" t="s">
        <v>1</v>
      </c>
      <c r="H358" t="s">
        <v>2</v>
      </c>
      <c r="I358" t="s">
        <v>3</v>
      </c>
      <c r="J358" t="str">
        <f t="shared" si="11"/>
        <v>Error: Should be None</v>
      </c>
      <c r="K358">
        <v>8</v>
      </c>
      <c r="L358" s="2">
        <v>311.32</v>
      </c>
      <c r="M358" t="s">
        <v>8</v>
      </c>
    </row>
    <row r="359" spans="1:13" x14ac:dyDescent="0.35">
      <c r="A359">
        <v>358</v>
      </c>
      <c r="B359">
        <v>83</v>
      </c>
      <c r="C359" t="str">
        <f>IF(Hospital[[#This Row],[Age]]&lt;=12,"Child",
IF(Hospital[[#This Row],[Age]]&lt;=19,"Teen",
IF(Hospital[[#This Row],[Age]]&lt;=35,"Young Adult",
IF(Hospital[[#This Row],[Age]]&lt;=59,"Adult",
"Senior"))))</f>
        <v>Senior</v>
      </c>
      <c r="D359" t="s">
        <v>5</v>
      </c>
      <c r="E359" s="1">
        <v>45328</v>
      </c>
      <c r="F359" s="1" t="str">
        <f t="shared" si="10"/>
        <v>February</v>
      </c>
      <c r="G359" t="s">
        <v>1</v>
      </c>
      <c r="H359" t="s">
        <v>14</v>
      </c>
      <c r="I359" t="s">
        <v>20</v>
      </c>
      <c r="J359" t="str">
        <f t="shared" si="11"/>
        <v>Error: Should be None</v>
      </c>
      <c r="K359">
        <v>6</v>
      </c>
      <c r="L359" s="2">
        <v>74.12</v>
      </c>
      <c r="M359" t="s">
        <v>10</v>
      </c>
    </row>
    <row r="360" spans="1:13" x14ac:dyDescent="0.35">
      <c r="A360">
        <v>359</v>
      </c>
      <c r="B360">
        <v>10</v>
      </c>
      <c r="C360" t="str">
        <f>IF(Hospital[[#This Row],[Age]]&lt;=12,"Child",
IF(Hospital[[#This Row],[Age]]&lt;=19,"Teen",
IF(Hospital[[#This Row],[Age]]&lt;=35,"Young Adult",
IF(Hospital[[#This Row],[Age]]&lt;=59,"Adult",
"Senior"))))</f>
        <v>Child</v>
      </c>
      <c r="D360" t="s">
        <v>5</v>
      </c>
      <c r="E360" s="1">
        <v>45580</v>
      </c>
      <c r="F360" s="1" t="str">
        <f t="shared" si="10"/>
        <v>October</v>
      </c>
      <c r="G360" t="s">
        <v>19</v>
      </c>
      <c r="H360" t="s">
        <v>9</v>
      </c>
      <c r="I360" t="s">
        <v>3</v>
      </c>
      <c r="J360" t="str">
        <f t="shared" si="11"/>
        <v>Error: Should be None</v>
      </c>
      <c r="K360">
        <v>5</v>
      </c>
      <c r="L360" s="2">
        <v>83.35</v>
      </c>
      <c r="M360" t="s">
        <v>10</v>
      </c>
    </row>
    <row r="361" spans="1:13" x14ac:dyDescent="0.35">
      <c r="A361">
        <v>360</v>
      </c>
      <c r="B361">
        <v>23</v>
      </c>
      <c r="C36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61" t="s">
        <v>0</v>
      </c>
      <c r="E361" s="1">
        <v>45301</v>
      </c>
      <c r="F361" s="1" t="str">
        <f t="shared" si="10"/>
        <v>January</v>
      </c>
      <c r="G361" t="s">
        <v>11</v>
      </c>
      <c r="H361" t="s">
        <v>9</v>
      </c>
      <c r="I361" t="s">
        <v>3</v>
      </c>
      <c r="J361" t="str">
        <f t="shared" si="11"/>
        <v>Error: Should be None</v>
      </c>
      <c r="K361">
        <v>0</v>
      </c>
      <c r="L361" s="2">
        <v>301.93</v>
      </c>
      <c r="M361" t="s">
        <v>4</v>
      </c>
    </row>
    <row r="362" spans="1:13" x14ac:dyDescent="0.35">
      <c r="A362">
        <v>361</v>
      </c>
      <c r="B362">
        <v>6</v>
      </c>
      <c r="C362" t="str">
        <f>IF(Hospital[[#This Row],[Age]]&lt;=12,"Child",
IF(Hospital[[#This Row],[Age]]&lt;=19,"Teen",
IF(Hospital[[#This Row],[Age]]&lt;=35,"Young Adult",
IF(Hospital[[#This Row],[Age]]&lt;=59,"Adult",
"Senior"))))</f>
        <v>Child</v>
      </c>
      <c r="D362" t="s">
        <v>5</v>
      </c>
      <c r="E362" s="1">
        <v>45195</v>
      </c>
      <c r="F362" s="1" t="str">
        <f t="shared" si="10"/>
        <v>September</v>
      </c>
      <c r="G362" t="s">
        <v>6</v>
      </c>
      <c r="H362" t="s">
        <v>17</v>
      </c>
      <c r="I362" t="s">
        <v>3</v>
      </c>
      <c r="J362" t="str">
        <f t="shared" si="11"/>
        <v>Error: Should be None</v>
      </c>
      <c r="K362">
        <v>4</v>
      </c>
      <c r="L362" s="2">
        <v>321.70999999999998</v>
      </c>
      <c r="M362" t="s">
        <v>10</v>
      </c>
    </row>
    <row r="363" spans="1:13" x14ac:dyDescent="0.35">
      <c r="A363">
        <v>362</v>
      </c>
      <c r="B363">
        <v>52</v>
      </c>
      <c r="C363" t="str">
        <f>IF(Hospital[[#This Row],[Age]]&lt;=12,"Child",
IF(Hospital[[#This Row],[Age]]&lt;=19,"Teen",
IF(Hospital[[#This Row],[Age]]&lt;=35,"Young Adult",
IF(Hospital[[#This Row],[Age]]&lt;=59,"Adult",
"Senior"))))</f>
        <v>Adult</v>
      </c>
      <c r="D363" t="s">
        <v>5</v>
      </c>
      <c r="E363" s="1">
        <v>45360</v>
      </c>
      <c r="F363" s="1" t="str">
        <f t="shared" si="10"/>
        <v>March</v>
      </c>
      <c r="G363" t="s">
        <v>1</v>
      </c>
      <c r="H363" t="s">
        <v>7</v>
      </c>
      <c r="I363" t="s">
        <v>3</v>
      </c>
      <c r="J363" t="str">
        <f t="shared" si="11"/>
        <v>Error: Should be None</v>
      </c>
      <c r="K363">
        <v>4</v>
      </c>
      <c r="L363" s="2">
        <v>60.13</v>
      </c>
      <c r="M363" t="s">
        <v>4</v>
      </c>
    </row>
    <row r="364" spans="1:13" x14ac:dyDescent="0.35">
      <c r="A364">
        <v>363</v>
      </c>
      <c r="B364">
        <v>20</v>
      </c>
      <c r="C36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64" t="s">
        <v>0</v>
      </c>
      <c r="E364" s="1">
        <v>45450</v>
      </c>
      <c r="F364" s="1" t="str">
        <f t="shared" si="10"/>
        <v>June</v>
      </c>
      <c r="G364" t="s">
        <v>6</v>
      </c>
      <c r="H364" t="s">
        <v>17</v>
      </c>
      <c r="I364" t="s">
        <v>3</v>
      </c>
      <c r="J364" t="str">
        <f t="shared" si="11"/>
        <v>Error: Should be None</v>
      </c>
      <c r="K364">
        <v>10</v>
      </c>
      <c r="L364" s="2">
        <v>386.35</v>
      </c>
      <c r="M364" t="s">
        <v>4</v>
      </c>
    </row>
    <row r="365" spans="1:13" x14ac:dyDescent="0.35">
      <c r="A365">
        <v>364</v>
      </c>
      <c r="B365">
        <v>56</v>
      </c>
      <c r="C365" t="str">
        <f>IF(Hospital[[#This Row],[Age]]&lt;=12,"Child",
IF(Hospital[[#This Row],[Age]]&lt;=19,"Teen",
IF(Hospital[[#This Row],[Age]]&lt;=35,"Young Adult",
IF(Hospital[[#This Row],[Age]]&lt;=59,"Adult",
"Senior"))))</f>
        <v>Adult</v>
      </c>
      <c r="D365" t="s">
        <v>5</v>
      </c>
      <c r="E365" s="1">
        <v>45244</v>
      </c>
      <c r="F365" s="1" t="str">
        <f t="shared" si="10"/>
        <v>November</v>
      </c>
      <c r="G365" t="s">
        <v>11</v>
      </c>
      <c r="H365" t="s">
        <v>7</v>
      </c>
      <c r="I365" t="s">
        <v>3</v>
      </c>
      <c r="J365" t="str">
        <f t="shared" si="11"/>
        <v>Error: Should be None</v>
      </c>
      <c r="K365">
        <v>3</v>
      </c>
      <c r="L365" s="2">
        <v>61.38</v>
      </c>
      <c r="M365" t="s">
        <v>10</v>
      </c>
    </row>
    <row r="366" spans="1:13" x14ac:dyDescent="0.35">
      <c r="A366">
        <v>365</v>
      </c>
      <c r="B366">
        <v>79</v>
      </c>
      <c r="C366" t="str">
        <f>IF(Hospital[[#This Row],[Age]]&lt;=12,"Child",
IF(Hospital[[#This Row],[Age]]&lt;=19,"Teen",
IF(Hospital[[#This Row],[Age]]&lt;=35,"Young Adult",
IF(Hospital[[#This Row],[Age]]&lt;=59,"Adult",
"Senior"))))</f>
        <v>Senior</v>
      </c>
      <c r="D366" t="s">
        <v>5</v>
      </c>
      <c r="E366" s="1">
        <v>45045</v>
      </c>
      <c r="F366" s="1" t="str">
        <f t="shared" si="10"/>
        <v>April</v>
      </c>
      <c r="G366" t="s">
        <v>19</v>
      </c>
      <c r="H366" t="s">
        <v>12</v>
      </c>
      <c r="I366" t="s">
        <v>13</v>
      </c>
      <c r="J366" t="str">
        <f t="shared" si="11"/>
        <v>Error: Should be None</v>
      </c>
      <c r="K366">
        <v>1</v>
      </c>
      <c r="L366" s="2">
        <v>26.08</v>
      </c>
      <c r="M366" t="s">
        <v>8</v>
      </c>
    </row>
    <row r="367" spans="1:13" x14ac:dyDescent="0.35">
      <c r="A367">
        <v>366</v>
      </c>
      <c r="B367">
        <v>21</v>
      </c>
      <c r="C367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67" t="s">
        <v>0</v>
      </c>
      <c r="E367" s="1">
        <v>45645</v>
      </c>
      <c r="F367" s="1" t="str">
        <f t="shared" si="10"/>
        <v>December</v>
      </c>
      <c r="G367" t="s">
        <v>19</v>
      </c>
      <c r="H367" t="s">
        <v>2</v>
      </c>
      <c r="I367" t="s">
        <v>3</v>
      </c>
      <c r="J367" t="str">
        <f t="shared" si="11"/>
        <v>Error: Should be None</v>
      </c>
      <c r="K367">
        <v>8</v>
      </c>
      <c r="L367" s="2">
        <v>268.27</v>
      </c>
      <c r="M367" t="s">
        <v>16</v>
      </c>
    </row>
    <row r="368" spans="1:13" x14ac:dyDescent="0.35">
      <c r="A368">
        <v>367</v>
      </c>
      <c r="B368">
        <v>17</v>
      </c>
      <c r="C368" t="str">
        <f>IF(Hospital[[#This Row],[Age]]&lt;=12,"Child",
IF(Hospital[[#This Row],[Age]]&lt;=19,"Teen",
IF(Hospital[[#This Row],[Age]]&lt;=35,"Young Adult",
IF(Hospital[[#This Row],[Age]]&lt;=59,"Adult",
"Senior"))))</f>
        <v>Teen</v>
      </c>
      <c r="D368" t="s">
        <v>0</v>
      </c>
      <c r="E368" s="1">
        <v>45097</v>
      </c>
      <c r="F368" s="1" t="str">
        <f t="shared" si="10"/>
        <v>June</v>
      </c>
      <c r="G368" t="s">
        <v>11</v>
      </c>
      <c r="H368" t="s">
        <v>14</v>
      </c>
      <c r="I368" t="s">
        <v>15</v>
      </c>
      <c r="J368" t="str">
        <f t="shared" si="11"/>
        <v>Error: Should be None</v>
      </c>
      <c r="K368">
        <v>5</v>
      </c>
      <c r="L368" s="2">
        <v>407.41</v>
      </c>
      <c r="M368" t="s">
        <v>16</v>
      </c>
    </row>
    <row r="369" spans="1:13" x14ac:dyDescent="0.35">
      <c r="A369">
        <v>368</v>
      </c>
      <c r="B369">
        <v>34</v>
      </c>
      <c r="C36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69" t="s">
        <v>5</v>
      </c>
      <c r="E369" s="1">
        <v>45463</v>
      </c>
      <c r="F369" s="1" t="str">
        <f t="shared" si="10"/>
        <v>June</v>
      </c>
      <c r="G369" t="s">
        <v>6</v>
      </c>
      <c r="H369" t="s">
        <v>2</v>
      </c>
      <c r="I369" t="s">
        <v>3</v>
      </c>
      <c r="J369" t="str">
        <f t="shared" si="11"/>
        <v>Error: Should be None</v>
      </c>
      <c r="K369">
        <v>7</v>
      </c>
      <c r="L369" s="2">
        <v>265.18</v>
      </c>
      <c r="M369" t="s">
        <v>4</v>
      </c>
    </row>
    <row r="370" spans="1:13" x14ac:dyDescent="0.35">
      <c r="A370">
        <v>369</v>
      </c>
      <c r="B370">
        <v>22</v>
      </c>
      <c r="C37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70" t="s">
        <v>0</v>
      </c>
      <c r="E370" s="1">
        <v>45438</v>
      </c>
      <c r="F370" s="1" t="str">
        <f t="shared" si="10"/>
        <v>May</v>
      </c>
      <c r="G370" t="s">
        <v>1</v>
      </c>
      <c r="H370" t="s">
        <v>9</v>
      </c>
      <c r="I370" t="s">
        <v>3</v>
      </c>
      <c r="J370" t="str">
        <f t="shared" si="11"/>
        <v>Error: Should be None</v>
      </c>
      <c r="K370">
        <v>4</v>
      </c>
      <c r="L370" s="2">
        <v>391.2</v>
      </c>
      <c r="M370" t="s">
        <v>4</v>
      </c>
    </row>
    <row r="371" spans="1:13" x14ac:dyDescent="0.35">
      <c r="A371">
        <v>370</v>
      </c>
      <c r="B371">
        <v>66</v>
      </c>
      <c r="C371" t="str">
        <f>IF(Hospital[[#This Row],[Age]]&lt;=12,"Child",
IF(Hospital[[#This Row],[Age]]&lt;=19,"Teen",
IF(Hospital[[#This Row],[Age]]&lt;=35,"Young Adult",
IF(Hospital[[#This Row],[Age]]&lt;=59,"Adult",
"Senior"))))</f>
        <v>Senior</v>
      </c>
      <c r="D371" t="s">
        <v>5</v>
      </c>
      <c r="E371" s="1">
        <v>45160</v>
      </c>
      <c r="F371" s="1" t="str">
        <f t="shared" si="10"/>
        <v>August</v>
      </c>
      <c r="G371" t="s">
        <v>11</v>
      </c>
      <c r="H371" t="s">
        <v>7</v>
      </c>
      <c r="I371" t="s">
        <v>3</v>
      </c>
      <c r="J371" t="str">
        <f t="shared" si="11"/>
        <v>Error: Should be None</v>
      </c>
      <c r="K371">
        <v>0</v>
      </c>
      <c r="L371" s="2">
        <v>137.38</v>
      </c>
      <c r="M371" t="s">
        <v>10</v>
      </c>
    </row>
    <row r="372" spans="1:13" x14ac:dyDescent="0.35">
      <c r="A372">
        <v>371</v>
      </c>
      <c r="B372">
        <v>20</v>
      </c>
      <c r="C37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72" t="s">
        <v>5</v>
      </c>
      <c r="E372" s="1">
        <v>45299</v>
      </c>
      <c r="F372" s="1" t="str">
        <f t="shared" si="10"/>
        <v>January</v>
      </c>
      <c r="G372" t="s">
        <v>11</v>
      </c>
      <c r="H372" t="s">
        <v>12</v>
      </c>
      <c r="I372" t="s">
        <v>3</v>
      </c>
      <c r="J372" t="str">
        <f t="shared" si="11"/>
        <v>Error: Should be None</v>
      </c>
      <c r="K372">
        <v>10</v>
      </c>
      <c r="L372" s="2">
        <v>221.3</v>
      </c>
      <c r="M372" t="s">
        <v>16</v>
      </c>
    </row>
    <row r="373" spans="1:13" x14ac:dyDescent="0.35">
      <c r="A373">
        <v>372</v>
      </c>
      <c r="B373">
        <v>41</v>
      </c>
      <c r="C373" t="str">
        <f>IF(Hospital[[#This Row],[Age]]&lt;=12,"Child",
IF(Hospital[[#This Row],[Age]]&lt;=19,"Teen",
IF(Hospital[[#This Row],[Age]]&lt;=35,"Young Adult",
IF(Hospital[[#This Row],[Age]]&lt;=59,"Adult",
"Senior"))))</f>
        <v>Adult</v>
      </c>
      <c r="D373" t="s">
        <v>0</v>
      </c>
      <c r="E373" s="1">
        <v>45181</v>
      </c>
      <c r="F373" s="1" t="str">
        <f t="shared" si="10"/>
        <v>September</v>
      </c>
      <c r="G373" t="s">
        <v>11</v>
      </c>
      <c r="H373" t="s">
        <v>12</v>
      </c>
      <c r="I373" t="s">
        <v>3</v>
      </c>
      <c r="J373" t="str">
        <f t="shared" si="11"/>
        <v>Error: Should be None</v>
      </c>
      <c r="K373">
        <v>5</v>
      </c>
      <c r="L373" s="2">
        <v>77.31</v>
      </c>
      <c r="M373" t="s">
        <v>4</v>
      </c>
    </row>
    <row r="374" spans="1:13" x14ac:dyDescent="0.35">
      <c r="A374">
        <v>373</v>
      </c>
      <c r="B374">
        <v>67</v>
      </c>
      <c r="C374" t="str">
        <f>IF(Hospital[[#This Row],[Age]]&lt;=12,"Child",
IF(Hospital[[#This Row],[Age]]&lt;=19,"Teen",
IF(Hospital[[#This Row],[Age]]&lt;=35,"Young Adult",
IF(Hospital[[#This Row],[Age]]&lt;=59,"Adult",
"Senior"))))</f>
        <v>Senior</v>
      </c>
      <c r="D374" t="s">
        <v>5</v>
      </c>
      <c r="E374" s="1">
        <v>45110</v>
      </c>
      <c r="F374" s="1" t="str">
        <f t="shared" si="10"/>
        <v>July</v>
      </c>
      <c r="G374" t="s">
        <v>6</v>
      </c>
      <c r="H374" t="s">
        <v>17</v>
      </c>
      <c r="I374" t="s">
        <v>15</v>
      </c>
      <c r="J374" t="str">
        <f t="shared" si="11"/>
        <v>Error: Should be None</v>
      </c>
      <c r="K374">
        <v>7</v>
      </c>
      <c r="L374" s="2">
        <v>435.7</v>
      </c>
      <c r="M374" t="s">
        <v>16</v>
      </c>
    </row>
    <row r="375" spans="1:13" x14ac:dyDescent="0.35">
      <c r="A375">
        <v>374</v>
      </c>
      <c r="B375">
        <v>71</v>
      </c>
      <c r="C375" t="str">
        <f>IF(Hospital[[#This Row],[Age]]&lt;=12,"Child",
IF(Hospital[[#This Row],[Age]]&lt;=19,"Teen",
IF(Hospital[[#This Row],[Age]]&lt;=35,"Young Adult",
IF(Hospital[[#This Row],[Age]]&lt;=59,"Adult",
"Senior"))))</f>
        <v>Senior</v>
      </c>
      <c r="D375" t="s">
        <v>0</v>
      </c>
      <c r="E375" s="1">
        <v>45262</v>
      </c>
      <c r="F375" s="1" t="str">
        <f t="shared" si="10"/>
        <v>December</v>
      </c>
      <c r="G375" t="s">
        <v>11</v>
      </c>
      <c r="H375" t="s">
        <v>2</v>
      </c>
      <c r="I375" t="s">
        <v>3</v>
      </c>
      <c r="J375" t="str">
        <f t="shared" si="11"/>
        <v>Error: Should be None</v>
      </c>
      <c r="K375">
        <v>5</v>
      </c>
      <c r="L375" s="2">
        <v>116.32</v>
      </c>
      <c r="M375" t="s">
        <v>16</v>
      </c>
    </row>
    <row r="376" spans="1:13" x14ac:dyDescent="0.35">
      <c r="A376">
        <v>375</v>
      </c>
      <c r="B376">
        <v>60</v>
      </c>
      <c r="C376" t="str">
        <f>IF(Hospital[[#This Row],[Age]]&lt;=12,"Child",
IF(Hospital[[#This Row],[Age]]&lt;=19,"Teen",
IF(Hospital[[#This Row],[Age]]&lt;=35,"Young Adult",
IF(Hospital[[#This Row],[Age]]&lt;=59,"Adult",
"Senior"))))</f>
        <v>Senior</v>
      </c>
      <c r="D376" t="s">
        <v>0</v>
      </c>
      <c r="E376" s="1">
        <v>45564</v>
      </c>
      <c r="F376" s="1" t="str">
        <f t="shared" si="10"/>
        <v>September</v>
      </c>
      <c r="G376" t="s">
        <v>6</v>
      </c>
      <c r="H376" t="s">
        <v>17</v>
      </c>
      <c r="I376" t="s">
        <v>13</v>
      </c>
      <c r="J376" t="str">
        <f t="shared" si="11"/>
        <v>Error: Should be None</v>
      </c>
      <c r="K376">
        <v>8</v>
      </c>
      <c r="L376" s="2">
        <v>385.03</v>
      </c>
      <c r="M376" t="s">
        <v>8</v>
      </c>
    </row>
    <row r="377" spans="1:13" x14ac:dyDescent="0.35">
      <c r="A377">
        <v>376</v>
      </c>
      <c r="B377">
        <v>53</v>
      </c>
      <c r="C377" t="str">
        <f>IF(Hospital[[#This Row],[Age]]&lt;=12,"Child",
IF(Hospital[[#This Row],[Age]]&lt;=19,"Teen",
IF(Hospital[[#This Row],[Age]]&lt;=35,"Young Adult",
IF(Hospital[[#This Row],[Age]]&lt;=59,"Adult",
"Senior"))))</f>
        <v>Adult</v>
      </c>
      <c r="D377" t="s">
        <v>5</v>
      </c>
      <c r="E377" s="1">
        <v>45081</v>
      </c>
      <c r="F377" s="1" t="str">
        <f t="shared" si="10"/>
        <v>June</v>
      </c>
      <c r="G377" t="s">
        <v>1</v>
      </c>
      <c r="H377" t="s">
        <v>2</v>
      </c>
      <c r="I377" t="s">
        <v>3</v>
      </c>
      <c r="J377" t="str">
        <f t="shared" si="11"/>
        <v>Error: Should be None</v>
      </c>
      <c r="K377">
        <v>8</v>
      </c>
      <c r="L377" s="2">
        <v>186.28</v>
      </c>
      <c r="M377" t="s">
        <v>4</v>
      </c>
    </row>
    <row r="378" spans="1:13" x14ac:dyDescent="0.35">
      <c r="A378">
        <v>377</v>
      </c>
      <c r="B378">
        <v>85</v>
      </c>
      <c r="C378" t="str">
        <f>IF(Hospital[[#This Row],[Age]]&lt;=12,"Child",
IF(Hospital[[#This Row],[Age]]&lt;=19,"Teen",
IF(Hospital[[#This Row],[Age]]&lt;=35,"Young Adult",
IF(Hospital[[#This Row],[Age]]&lt;=59,"Adult",
"Senior"))))</f>
        <v>Senior</v>
      </c>
      <c r="D378" t="s">
        <v>0</v>
      </c>
      <c r="E378" s="1">
        <v>45270</v>
      </c>
      <c r="F378" s="1" t="str">
        <f t="shared" si="10"/>
        <v>December</v>
      </c>
      <c r="G378" t="s">
        <v>19</v>
      </c>
      <c r="H378" t="s">
        <v>2</v>
      </c>
      <c r="I378" t="s">
        <v>3</v>
      </c>
      <c r="J378" t="str">
        <f t="shared" si="11"/>
        <v>Error: Should be None</v>
      </c>
      <c r="K378">
        <v>1</v>
      </c>
      <c r="L378" s="2">
        <v>118.49</v>
      </c>
      <c r="M378" t="s">
        <v>8</v>
      </c>
    </row>
    <row r="379" spans="1:13" x14ac:dyDescent="0.35">
      <c r="A379">
        <v>378</v>
      </c>
      <c r="B379">
        <v>8</v>
      </c>
      <c r="C379" t="str">
        <f>IF(Hospital[[#This Row],[Age]]&lt;=12,"Child",
IF(Hospital[[#This Row],[Age]]&lt;=19,"Teen",
IF(Hospital[[#This Row],[Age]]&lt;=35,"Young Adult",
IF(Hospital[[#This Row],[Age]]&lt;=59,"Adult",
"Senior"))))</f>
        <v>Child</v>
      </c>
      <c r="D379" t="s">
        <v>5</v>
      </c>
      <c r="E379" s="1">
        <v>45356</v>
      </c>
      <c r="F379" s="1" t="str">
        <f t="shared" si="10"/>
        <v>March</v>
      </c>
      <c r="G379" t="s">
        <v>19</v>
      </c>
      <c r="H379" t="s">
        <v>12</v>
      </c>
      <c r="I379" t="s">
        <v>15</v>
      </c>
      <c r="J379" t="str">
        <f t="shared" si="11"/>
        <v>Error: Should be None</v>
      </c>
      <c r="K379">
        <v>0</v>
      </c>
      <c r="L379" s="2">
        <v>462.21</v>
      </c>
      <c r="M379" t="s">
        <v>10</v>
      </c>
    </row>
    <row r="380" spans="1:13" x14ac:dyDescent="0.35">
      <c r="A380">
        <v>379</v>
      </c>
      <c r="B380">
        <v>59</v>
      </c>
      <c r="C380" t="str">
        <f>IF(Hospital[[#This Row],[Age]]&lt;=12,"Child",
IF(Hospital[[#This Row],[Age]]&lt;=19,"Teen",
IF(Hospital[[#This Row],[Age]]&lt;=35,"Young Adult",
IF(Hospital[[#This Row],[Age]]&lt;=59,"Adult",
"Senior"))))</f>
        <v>Adult</v>
      </c>
      <c r="D380" t="s">
        <v>5</v>
      </c>
      <c r="E380" s="1">
        <v>45644</v>
      </c>
      <c r="F380" s="1" t="str">
        <f t="shared" si="10"/>
        <v>December</v>
      </c>
      <c r="G380" t="s">
        <v>11</v>
      </c>
      <c r="H380" t="s">
        <v>14</v>
      </c>
      <c r="I380" t="s">
        <v>3</v>
      </c>
      <c r="J380" t="str">
        <f t="shared" si="11"/>
        <v>Error: Should be None</v>
      </c>
      <c r="K380">
        <v>2</v>
      </c>
      <c r="L380" s="2">
        <v>325.86</v>
      </c>
      <c r="M380" t="s">
        <v>10</v>
      </c>
    </row>
    <row r="381" spans="1:13" x14ac:dyDescent="0.35">
      <c r="A381">
        <v>380</v>
      </c>
      <c r="B381">
        <v>73</v>
      </c>
      <c r="C381" t="str">
        <f>IF(Hospital[[#This Row],[Age]]&lt;=12,"Child",
IF(Hospital[[#This Row],[Age]]&lt;=19,"Teen",
IF(Hospital[[#This Row],[Age]]&lt;=35,"Young Adult",
IF(Hospital[[#This Row],[Age]]&lt;=59,"Adult",
"Senior"))))</f>
        <v>Senior</v>
      </c>
      <c r="D381" t="s">
        <v>5</v>
      </c>
      <c r="E381" s="1">
        <v>45003</v>
      </c>
      <c r="F381" s="1" t="str">
        <f t="shared" si="10"/>
        <v>March</v>
      </c>
      <c r="G381" t="s">
        <v>6</v>
      </c>
      <c r="H381" t="s">
        <v>9</v>
      </c>
      <c r="I381" t="s">
        <v>3</v>
      </c>
      <c r="J381" t="str">
        <f t="shared" si="11"/>
        <v>Error: Should be None</v>
      </c>
      <c r="K381">
        <v>10</v>
      </c>
      <c r="L381" s="2">
        <v>482.82</v>
      </c>
      <c r="M381" t="s">
        <v>8</v>
      </c>
    </row>
    <row r="382" spans="1:13" x14ac:dyDescent="0.35">
      <c r="A382">
        <v>381</v>
      </c>
      <c r="B382">
        <v>41</v>
      </c>
      <c r="C382" t="str">
        <f>IF(Hospital[[#This Row],[Age]]&lt;=12,"Child",
IF(Hospital[[#This Row],[Age]]&lt;=19,"Teen",
IF(Hospital[[#This Row],[Age]]&lt;=35,"Young Adult",
IF(Hospital[[#This Row],[Age]]&lt;=59,"Adult",
"Senior"))))</f>
        <v>Adult</v>
      </c>
      <c r="D382" t="s">
        <v>0</v>
      </c>
      <c r="E382" s="1">
        <v>45225</v>
      </c>
      <c r="F382" s="1" t="str">
        <f t="shared" si="10"/>
        <v>October</v>
      </c>
      <c r="G382" t="s">
        <v>19</v>
      </c>
      <c r="H382" t="s">
        <v>14</v>
      </c>
      <c r="I382" t="s">
        <v>18</v>
      </c>
      <c r="J382" t="str">
        <f t="shared" si="11"/>
        <v>Error: Should be None</v>
      </c>
      <c r="K382">
        <v>7</v>
      </c>
      <c r="L382" s="2">
        <v>150.54</v>
      </c>
      <c r="M382" t="s">
        <v>4</v>
      </c>
    </row>
    <row r="383" spans="1:13" x14ac:dyDescent="0.35">
      <c r="A383">
        <v>382</v>
      </c>
      <c r="B383">
        <v>75</v>
      </c>
      <c r="C383" t="str">
        <f>IF(Hospital[[#This Row],[Age]]&lt;=12,"Child",
IF(Hospital[[#This Row],[Age]]&lt;=19,"Teen",
IF(Hospital[[#This Row],[Age]]&lt;=35,"Young Adult",
IF(Hospital[[#This Row],[Age]]&lt;=59,"Adult",
"Senior"))))</f>
        <v>Senior</v>
      </c>
      <c r="D383" t="s">
        <v>5</v>
      </c>
      <c r="E383" s="1">
        <v>45134</v>
      </c>
      <c r="F383" s="1" t="str">
        <f t="shared" si="10"/>
        <v>July</v>
      </c>
      <c r="G383" t="s">
        <v>1</v>
      </c>
      <c r="H383" t="s">
        <v>17</v>
      </c>
      <c r="I383" t="s">
        <v>15</v>
      </c>
      <c r="J383" t="str">
        <f t="shared" si="11"/>
        <v>Error: Should be None</v>
      </c>
      <c r="K383">
        <v>2</v>
      </c>
      <c r="L383" s="2">
        <v>235.79</v>
      </c>
      <c r="M383" t="s">
        <v>16</v>
      </c>
    </row>
    <row r="384" spans="1:13" x14ac:dyDescent="0.35">
      <c r="A384">
        <v>383</v>
      </c>
      <c r="B384">
        <v>69</v>
      </c>
      <c r="C384" t="str">
        <f>IF(Hospital[[#This Row],[Age]]&lt;=12,"Child",
IF(Hospital[[#This Row],[Age]]&lt;=19,"Teen",
IF(Hospital[[#This Row],[Age]]&lt;=35,"Young Adult",
IF(Hospital[[#This Row],[Age]]&lt;=59,"Adult",
"Senior"))))</f>
        <v>Senior</v>
      </c>
      <c r="D384" t="s">
        <v>0</v>
      </c>
      <c r="E384" s="1">
        <v>45343</v>
      </c>
      <c r="F384" s="1" t="str">
        <f t="shared" si="10"/>
        <v>February</v>
      </c>
      <c r="G384" t="s">
        <v>1</v>
      </c>
      <c r="H384" t="s">
        <v>2</v>
      </c>
      <c r="I384" t="s">
        <v>3</v>
      </c>
      <c r="J384" t="str">
        <f t="shared" si="11"/>
        <v>Error: Should be None</v>
      </c>
      <c r="K384">
        <v>7</v>
      </c>
      <c r="L384" s="2">
        <v>167.99</v>
      </c>
      <c r="M384" t="s">
        <v>16</v>
      </c>
    </row>
    <row r="385" spans="1:13" x14ac:dyDescent="0.35">
      <c r="A385">
        <v>384</v>
      </c>
      <c r="B385">
        <v>21</v>
      </c>
      <c r="C38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85" t="s">
        <v>0</v>
      </c>
      <c r="E385" s="1">
        <v>45049</v>
      </c>
      <c r="F385" s="1" t="str">
        <f t="shared" si="10"/>
        <v>May</v>
      </c>
      <c r="G385" t="s">
        <v>11</v>
      </c>
      <c r="H385" t="s">
        <v>2</v>
      </c>
      <c r="I385" t="s">
        <v>3</v>
      </c>
      <c r="J385" t="str">
        <f t="shared" si="11"/>
        <v>Error: Should be None</v>
      </c>
      <c r="K385">
        <v>3</v>
      </c>
      <c r="L385" s="2">
        <v>421.24</v>
      </c>
      <c r="M385" t="s">
        <v>16</v>
      </c>
    </row>
    <row r="386" spans="1:13" x14ac:dyDescent="0.35">
      <c r="A386">
        <v>385</v>
      </c>
      <c r="B386">
        <v>32</v>
      </c>
      <c r="C38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86" t="s">
        <v>0</v>
      </c>
      <c r="E386" s="1">
        <v>45078</v>
      </c>
      <c r="F386" s="1" t="str">
        <f t="shared" si="10"/>
        <v>June</v>
      </c>
      <c r="G386" t="s">
        <v>6</v>
      </c>
      <c r="H386" t="s">
        <v>2</v>
      </c>
      <c r="I386" t="s">
        <v>3</v>
      </c>
      <c r="J386" t="str">
        <f t="shared" si="11"/>
        <v>Error: Should be None</v>
      </c>
      <c r="K386">
        <v>8</v>
      </c>
      <c r="L386" s="2">
        <v>43.5</v>
      </c>
      <c r="M386" t="s">
        <v>16</v>
      </c>
    </row>
    <row r="387" spans="1:13" x14ac:dyDescent="0.35">
      <c r="A387">
        <v>386</v>
      </c>
      <c r="B387">
        <v>4</v>
      </c>
      <c r="C387" t="str">
        <f>IF(Hospital[[#This Row],[Age]]&lt;=12,"Child",
IF(Hospital[[#This Row],[Age]]&lt;=19,"Teen",
IF(Hospital[[#This Row],[Age]]&lt;=35,"Young Adult",
IF(Hospital[[#This Row],[Age]]&lt;=59,"Adult",
"Senior"))))</f>
        <v>Child</v>
      </c>
      <c r="D387" t="s">
        <v>0</v>
      </c>
      <c r="E387" s="1">
        <v>45193</v>
      </c>
      <c r="F387" s="1" t="str">
        <f t="shared" ref="F387:F450" si="12">TEXT(E387, "mmmm")</f>
        <v>September</v>
      </c>
      <c r="G387" t="s">
        <v>6</v>
      </c>
      <c r="H387" t="s">
        <v>17</v>
      </c>
      <c r="I387" t="s">
        <v>3</v>
      </c>
      <c r="J387" t="str">
        <f t="shared" ref="J387:J450" si="13">IF(OR(G387="UTI", G387="Pneumonia", G387="Typhoid"),
   IF(H387="None","Error: Should have antibiotics","OK"),
   IF(H387&lt;&gt;"None","Error: Should be None","OK"))</f>
        <v>Error: Should be None</v>
      </c>
      <c r="K387">
        <v>8</v>
      </c>
      <c r="L387" s="2">
        <v>139.93</v>
      </c>
      <c r="M387" t="s">
        <v>10</v>
      </c>
    </row>
    <row r="388" spans="1:13" x14ac:dyDescent="0.35">
      <c r="A388">
        <v>387</v>
      </c>
      <c r="B388">
        <v>16</v>
      </c>
      <c r="C388" t="str">
        <f>IF(Hospital[[#This Row],[Age]]&lt;=12,"Child",
IF(Hospital[[#This Row],[Age]]&lt;=19,"Teen",
IF(Hospital[[#This Row],[Age]]&lt;=35,"Young Adult",
IF(Hospital[[#This Row],[Age]]&lt;=59,"Adult",
"Senior"))))</f>
        <v>Teen</v>
      </c>
      <c r="D388" t="s">
        <v>5</v>
      </c>
      <c r="E388" s="1">
        <v>45031</v>
      </c>
      <c r="F388" s="1" t="str">
        <f t="shared" si="12"/>
        <v>April</v>
      </c>
      <c r="G388" t="s">
        <v>11</v>
      </c>
      <c r="H388" t="s">
        <v>17</v>
      </c>
      <c r="I388" t="s">
        <v>13</v>
      </c>
      <c r="J388" t="str">
        <f t="shared" si="13"/>
        <v>Error: Should be None</v>
      </c>
      <c r="K388">
        <v>2</v>
      </c>
      <c r="L388" s="2">
        <v>115.1</v>
      </c>
      <c r="M388" t="s">
        <v>10</v>
      </c>
    </row>
    <row r="389" spans="1:13" x14ac:dyDescent="0.35">
      <c r="A389">
        <v>388</v>
      </c>
      <c r="B389">
        <v>81</v>
      </c>
      <c r="C389" t="str">
        <f>IF(Hospital[[#This Row],[Age]]&lt;=12,"Child",
IF(Hospital[[#This Row],[Age]]&lt;=19,"Teen",
IF(Hospital[[#This Row],[Age]]&lt;=35,"Young Adult",
IF(Hospital[[#This Row],[Age]]&lt;=59,"Adult",
"Senior"))))</f>
        <v>Senior</v>
      </c>
      <c r="D389" t="s">
        <v>5</v>
      </c>
      <c r="E389" s="1">
        <v>45308</v>
      </c>
      <c r="F389" s="1" t="str">
        <f t="shared" si="12"/>
        <v>January</v>
      </c>
      <c r="G389" t="s">
        <v>19</v>
      </c>
      <c r="H389" t="s">
        <v>7</v>
      </c>
      <c r="I389" t="s">
        <v>3</v>
      </c>
      <c r="J389" t="str">
        <f t="shared" si="13"/>
        <v>Error: Should be None</v>
      </c>
      <c r="K389">
        <v>1</v>
      </c>
      <c r="L389" s="2">
        <v>30.46</v>
      </c>
      <c r="M389" t="s">
        <v>4</v>
      </c>
    </row>
    <row r="390" spans="1:13" x14ac:dyDescent="0.35">
      <c r="A390">
        <v>389</v>
      </c>
      <c r="B390">
        <v>57</v>
      </c>
      <c r="C390" t="str">
        <f>IF(Hospital[[#This Row],[Age]]&lt;=12,"Child",
IF(Hospital[[#This Row],[Age]]&lt;=19,"Teen",
IF(Hospital[[#This Row],[Age]]&lt;=35,"Young Adult",
IF(Hospital[[#This Row],[Age]]&lt;=59,"Adult",
"Senior"))))</f>
        <v>Adult</v>
      </c>
      <c r="D390" t="s">
        <v>5</v>
      </c>
      <c r="E390" s="1">
        <v>45129</v>
      </c>
      <c r="F390" s="1" t="str">
        <f t="shared" si="12"/>
        <v>July</v>
      </c>
      <c r="G390" t="s">
        <v>11</v>
      </c>
      <c r="H390" t="s">
        <v>7</v>
      </c>
      <c r="I390" t="s">
        <v>3</v>
      </c>
      <c r="J390" t="str">
        <f t="shared" si="13"/>
        <v>Error: Should be None</v>
      </c>
      <c r="K390">
        <v>5</v>
      </c>
      <c r="L390" s="2">
        <v>78.81</v>
      </c>
      <c r="M390" t="s">
        <v>10</v>
      </c>
    </row>
    <row r="391" spans="1:13" x14ac:dyDescent="0.35">
      <c r="A391">
        <v>390</v>
      </c>
      <c r="B391">
        <v>74</v>
      </c>
      <c r="C391" t="str">
        <f>IF(Hospital[[#This Row],[Age]]&lt;=12,"Child",
IF(Hospital[[#This Row],[Age]]&lt;=19,"Teen",
IF(Hospital[[#This Row],[Age]]&lt;=35,"Young Adult",
IF(Hospital[[#This Row],[Age]]&lt;=59,"Adult",
"Senior"))))</f>
        <v>Senior</v>
      </c>
      <c r="D391" t="s">
        <v>0</v>
      </c>
      <c r="E391" s="1">
        <v>44978</v>
      </c>
      <c r="F391" s="1" t="str">
        <f t="shared" si="12"/>
        <v>February</v>
      </c>
      <c r="G391" t="s">
        <v>6</v>
      </c>
      <c r="H391" t="s">
        <v>17</v>
      </c>
      <c r="I391" t="s">
        <v>20</v>
      </c>
      <c r="J391" t="str">
        <f t="shared" si="13"/>
        <v>Error: Should be None</v>
      </c>
      <c r="K391">
        <v>0</v>
      </c>
      <c r="L391" s="2">
        <v>203.71</v>
      </c>
      <c r="M391" t="s">
        <v>10</v>
      </c>
    </row>
    <row r="392" spans="1:13" x14ac:dyDescent="0.35">
      <c r="A392">
        <v>391</v>
      </c>
      <c r="B392">
        <v>28</v>
      </c>
      <c r="C39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92" t="s">
        <v>5</v>
      </c>
      <c r="E392" s="1">
        <v>45103</v>
      </c>
      <c r="F392" s="1" t="str">
        <f t="shared" si="12"/>
        <v>June</v>
      </c>
      <c r="G392" t="s">
        <v>19</v>
      </c>
      <c r="H392" t="s">
        <v>14</v>
      </c>
      <c r="I392" t="s">
        <v>18</v>
      </c>
      <c r="J392" t="str">
        <f t="shared" si="13"/>
        <v>Error: Should be None</v>
      </c>
      <c r="K392">
        <v>7</v>
      </c>
      <c r="L392" s="2">
        <v>444.04</v>
      </c>
      <c r="M392" t="s">
        <v>4</v>
      </c>
    </row>
    <row r="393" spans="1:13" x14ac:dyDescent="0.35">
      <c r="A393">
        <v>392</v>
      </c>
      <c r="B393">
        <v>79</v>
      </c>
      <c r="C393" t="str">
        <f>IF(Hospital[[#This Row],[Age]]&lt;=12,"Child",
IF(Hospital[[#This Row],[Age]]&lt;=19,"Teen",
IF(Hospital[[#This Row],[Age]]&lt;=35,"Young Adult",
IF(Hospital[[#This Row],[Age]]&lt;=59,"Adult",
"Senior"))))</f>
        <v>Senior</v>
      </c>
      <c r="D393" t="s">
        <v>5</v>
      </c>
      <c r="E393" s="1">
        <v>45555</v>
      </c>
      <c r="F393" s="1" t="str">
        <f t="shared" si="12"/>
        <v>September</v>
      </c>
      <c r="G393" t="s">
        <v>19</v>
      </c>
      <c r="H393" t="s">
        <v>9</v>
      </c>
      <c r="I393" t="s">
        <v>3</v>
      </c>
      <c r="J393" t="str">
        <f t="shared" si="13"/>
        <v>Error: Should be None</v>
      </c>
      <c r="K393">
        <v>7</v>
      </c>
      <c r="L393" s="2">
        <v>217.76</v>
      </c>
      <c r="M393" t="s">
        <v>10</v>
      </c>
    </row>
    <row r="394" spans="1:13" x14ac:dyDescent="0.35">
      <c r="A394">
        <v>393</v>
      </c>
      <c r="B394">
        <v>36</v>
      </c>
      <c r="C394" t="str">
        <f>IF(Hospital[[#This Row],[Age]]&lt;=12,"Child",
IF(Hospital[[#This Row],[Age]]&lt;=19,"Teen",
IF(Hospital[[#This Row],[Age]]&lt;=35,"Young Adult",
IF(Hospital[[#This Row],[Age]]&lt;=59,"Adult",
"Senior"))))</f>
        <v>Adult</v>
      </c>
      <c r="D394" t="s">
        <v>0</v>
      </c>
      <c r="E394" s="1">
        <v>44989</v>
      </c>
      <c r="F394" s="1" t="str">
        <f t="shared" si="12"/>
        <v>March</v>
      </c>
      <c r="G394" t="s">
        <v>1</v>
      </c>
      <c r="H394" t="s">
        <v>2</v>
      </c>
      <c r="I394" t="s">
        <v>3</v>
      </c>
      <c r="J394" t="str">
        <f t="shared" si="13"/>
        <v>Error: Should be None</v>
      </c>
      <c r="K394">
        <v>6</v>
      </c>
      <c r="L394" s="2">
        <v>115.74</v>
      </c>
      <c r="M394" t="s">
        <v>8</v>
      </c>
    </row>
    <row r="395" spans="1:13" x14ac:dyDescent="0.35">
      <c r="A395">
        <v>394</v>
      </c>
      <c r="B395">
        <v>3</v>
      </c>
      <c r="C395" t="str">
        <f>IF(Hospital[[#This Row],[Age]]&lt;=12,"Child",
IF(Hospital[[#This Row],[Age]]&lt;=19,"Teen",
IF(Hospital[[#This Row],[Age]]&lt;=35,"Young Adult",
IF(Hospital[[#This Row],[Age]]&lt;=59,"Adult",
"Senior"))))</f>
        <v>Child</v>
      </c>
      <c r="D395" t="s">
        <v>0</v>
      </c>
      <c r="E395" s="1">
        <v>45572</v>
      </c>
      <c r="F395" s="1" t="str">
        <f t="shared" si="12"/>
        <v>October</v>
      </c>
      <c r="G395" t="s">
        <v>19</v>
      </c>
      <c r="H395" t="s">
        <v>9</v>
      </c>
      <c r="I395" t="s">
        <v>3</v>
      </c>
      <c r="J395" t="str">
        <f t="shared" si="13"/>
        <v>Error: Should be None</v>
      </c>
      <c r="K395">
        <v>7</v>
      </c>
      <c r="L395" s="2">
        <v>281.37</v>
      </c>
      <c r="M395" t="s">
        <v>10</v>
      </c>
    </row>
    <row r="396" spans="1:13" x14ac:dyDescent="0.35">
      <c r="A396">
        <v>395</v>
      </c>
      <c r="B396">
        <v>65</v>
      </c>
      <c r="C396" t="str">
        <f>IF(Hospital[[#This Row],[Age]]&lt;=12,"Child",
IF(Hospital[[#This Row],[Age]]&lt;=19,"Teen",
IF(Hospital[[#This Row],[Age]]&lt;=35,"Young Adult",
IF(Hospital[[#This Row],[Age]]&lt;=59,"Adult",
"Senior"))))</f>
        <v>Senior</v>
      </c>
      <c r="D396" t="s">
        <v>0</v>
      </c>
      <c r="E396" s="1">
        <v>45279</v>
      </c>
      <c r="F396" s="1" t="str">
        <f t="shared" si="12"/>
        <v>December</v>
      </c>
      <c r="G396" t="s">
        <v>6</v>
      </c>
      <c r="H396" t="s">
        <v>9</v>
      </c>
      <c r="I396" t="s">
        <v>3</v>
      </c>
      <c r="J396" t="str">
        <f t="shared" si="13"/>
        <v>Error: Should be None</v>
      </c>
      <c r="K396">
        <v>4</v>
      </c>
      <c r="L396" s="2">
        <v>106.31</v>
      </c>
      <c r="M396" t="s">
        <v>16</v>
      </c>
    </row>
    <row r="397" spans="1:13" x14ac:dyDescent="0.35">
      <c r="A397">
        <v>396</v>
      </c>
      <c r="B397">
        <v>4</v>
      </c>
      <c r="C397" t="str">
        <f>IF(Hospital[[#This Row],[Age]]&lt;=12,"Child",
IF(Hospital[[#This Row],[Age]]&lt;=19,"Teen",
IF(Hospital[[#This Row],[Age]]&lt;=35,"Young Adult",
IF(Hospital[[#This Row],[Age]]&lt;=59,"Adult",
"Senior"))))</f>
        <v>Child</v>
      </c>
      <c r="D397" t="s">
        <v>0</v>
      </c>
      <c r="E397" s="1">
        <v>45538</v>
      </c>
      <c r="F397" s="1" t="str">
        <f t="shared" si="12"/>
        <v>September</v>
      </c>
      <c r="G397" t="s">
        <v>11</v>
      </c>
      <c r="H397" t="s">
        <v>17</v>
      </c>
      <c r="I397" t="s">
        <v>20</v>
      </c>
      <c r="J397" t="str">
        <f t="shared" si="13"/>
        <v>Error: Should be None</v>
      </c>
      <c r="K397">
        <v>8</v>
      </c>
      <c r="L397" s="2">
        <v>191.57</v>
      </c>
      <c r="M397" t="s">
        <v>8</v>
      </c>
    </row>
    <row r="398" spans="1:13" x14ac:dyDescent="0.35">
      <c r="A398">
        <v>397</v>
      </c>
      <c r="B398">
        <v>32</v>
      </c>
      <c r="C39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398" t="s">
        <v>5</v>
      </c>
      <c r="E398" s="1">
        <v>45090</v>
      </c>
      <c r="F398" s="1" t="str">
        <f t="shared" si="12"/>
        <v>June</v>
      </c>
      <c r="G398" t="s">
        <v>19</v>
      </c>
      <c r="H398" t="s">
        <v>2</v>
      </c>
      <c r="I398" t="s">
        <v>3</v>
      </c>
      <c r="J398" t="str">
        <f t="shared" si="13"/>
        <v>Error: Should be None</v>
      </c>
      <c r="K398">
        <v>8</v>
      </c>
      <c r="L398" s="2">
        <v>411.82</v>
      </c>
      <c r="M398" t="s">
        <v>4</v>
      </c>
    </row>
    <row r="399" spans="1:13" x14ac:dyDescent="0.35">
      <c r="A399">
        <v>398</v>
      </c>
      <c r="B399">
        <v>50</v>
      </c>
      <c r="C399" t="str">
        <f>IF(Hospital[[#This Row],[Age]]&lt;=12,"Child",
IF(Hospital[[#This Row],[Age]]&lt;=19,"Teen",
IF(Hospital[[#This Row],[Age]]&lt;=35,"Young Adult",
IF(Hospital[[#This Row],[Age]]&lt;=59,"Adult",
"Senior"))))</f>
        <v>Adult</v>
      </c>
      <c r="D399" t="s">
        <v>0</v>
      </c>
      <c r="E399" s="1">
        <v>45151</v>
      </c>
      <c r="F399" s="1" t="str">
        <f t="shared" si="12"/>
        <v>August</v>
      </c>
      <c r="G399" t="s">
        <v>1</v>
      </c>
      <c r="H399" t="s">
        <v>9</v>
      </c>
      <c r="I399" t="s">
        <v>3</v>
      </c>
      <c r="J399" t="str">
        <f t="shared" si="13"/>
        <v>Error: Should be None</v>
      </c>
      <c r="K399">
        <v>2</v>
      </c>
      <c r="L399" s="2">
        <v>133.54</v>
      </c>
      <c r="M399" t="s">
        <v>16</v>
      </c>
    </row>
    <row r="400" spans="1:13" x14ac:dyDescent="0.35">
      <c r="A400">
        <v>399</v>
      </c>
      <c r="B400">
        <v>76</v>
      </c>
      <c r="C400" t="str">
        <f>IF(Hospital[[#This Row],[Age]]&lt;=12,"Child",
IF(Hospital[[#This Row],[Age]]&lt;=19,"Teen",
IF(Hospital[[#This Row],[Age]]&lt;=35,"Young Adult",
IF(Hospital[[#This Row],[Age]]&lt;=59,"Adult",
"Senior"))))</f>
        <v>Senior</v>
      </c>
      <c r="D400" t="s">
        <v>5</v>
      </c>
      <c r="E400" s="1">
        <v>45641</v>
      </c>
      <c r="F400" s="1" t="str">
        <f t="shared" si="12"/>
        <v>December</v>
      </c>
      <c r="G400" t="s">
        <v>19</v>
      </c>
      <c r="H400" t="s">
        <v>14</v>
      </c>
      <c r="I400" t="s">
        <v>3</v>
      </c>
      <c r="J400" t="str">
        <f t="shared" si="13"/>
        <v>Error: Should be None</v>
      </c>
      <c r="K400">
        <v>9</v>
      </c>
      <c r="L400" s="2">
        <v>88.21</v>
      </c>
      <c r="M400" t="s">
        <v>8</v>
      </c>
    </row>
    <row r="401" spans="1:13" x14ac:dyDescent="0.35">
      <c r="A401">
        <v>400</v>
      </c>
      <c r="B401">
        <v>40</v>
      </c>
      <c r="C401" t="str">
        <f>IF(Hospital[[#This Row],[Age]]&lt;=12,"Child",
IF(Hospital[[#This Row],[Age]]&lt;=19,"Teen",
IF(Hospital[[#This Row],[Age]]&lt;=35,"Young Adult",
IF(Hospital[[#This Row],[Age]]&lt;=59,"Adult",
"Senior"))))</f>
        <v>Adult</v>
      </c>
      <c r="D401" t="s">
        <v>5</v>
      </c>
      <c r="E401" s="1">
        <v>45431</v>
      </c>
      <c r="F401" s="1" t="str">
        <f t="shared" si="12"/>
        <v>May</v>
      </c>
      <c r="G401" t="s">
        <v>6</v>
      </c>
      <c r="H401" t="s">
        <v>9</v>
      </c>
      <c r="I401" t="s">
        <v>3</v>
      </c>
      <c r="J401" t="str">
        <f t="shared" si="13"/>
        <v>Error: Should be None</v>
      </c>
      <c r="K401">
        <v>0</v>
      </c>
      <c r="L401" s="2">
        <v>63.32</v>
      </c>
      <c r="M401" t="s">
        <v>8</v>
      </c>
    </row>
    <row r="402" spans="1:13" x14ac:dyDescent="0.35">
      <c r="A402">
        <v>401</v>
      </c>
      <c r="B402">
        <v>3</v>
      </c>
      <c r="C402" t="str">
        <f>IF(Hospital[[#This Row],[Age]]&lt;=12,"Child",
IF(Hospital[[#This Row],[Age]]&lt;=19,"Teen",
IF(Hospital[[#This Row],[Age]]&lt;=35,"Young Adult",
IF(Hospital[[#This Row],[Age]]&lt;=59,"Adult",
"Senior"))))</f>
        <v>Child</v>
      </c>
      <c r="D402" t="s">
        <v>0</v>
      </c>
      <c r="E402" s="1">
        <v>45543</v>
      </c>
      <c r="F402" s="1" t="str">
        <f t="shared" si="12"/>
        <v>September</v>
      </c>
      <c r="G402" t="s">
        <v>11</v>
      </c>
      <c r="H402" t="s">
        <v>17</v>
      </c>
      <c r="I402" t="s">
        <v>18</v>
      </c>
      <c r="J402" t="str">
        <f t="shared" si="13"/>
        <v>Error: Should be None</v>
      </c>
      <c r="K402">
        <v>9</v>
      </c>
      <c r="L402" s="2">
        <v>116.7</v>
      </c>
      <c r="M402" t="s">
        <v>8</v>
      </c>
    </row>
    <row r="403" spans="1:13" x14ac:dyDescent="0.35">
      <c r="A403">
        <v>402</v>
      </c>
      <c r="B403">
        <v>23</v>
      </c>
      <c r="C40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03" t="s">
        <v>0</v>
      </c>
      <c r="E403" s="1">
        <v>45275</v>
      </c>
      <c r="F403" s="1" t="str">
        <f t="shared" si="12"/>
        <v>December</v>
      </c>
      <c r="G403" t="s">
        <v>11</v>
      </c>
      <c r="H403" t="s">
        <v>7</v>
      </c>
      <c r="I403" t="s">
        <v>3</v>
      </c>
      <c r="J403" t="str">
        <f t="shared" si="13"/>
        <v>Error: Should be None</v>
      </c>
      <c r="K403">
        <v>0</v>
      </c>
      <c r="L403" s="2">
        <v>90.9</v>
      </c>
      <c r="M403" t="s">
        <v>8</v>
      </c>
    </row>
    <row r="404" spans="1:13" x14ac:dyDescent="0.35">
      <c r="A404">
        <v>403</v>
      </c>
      <c r="B404">
        <v>47</v>
      </c>
      <c r="C404" t="str">
        <f>IF(Hospital[[#This Row],[Age]]&lt;=12,"Child",
IF(Hospital[[#This Row],[Age]]&lt;=19,"Teen",
IF(Hospital[[#This Row],[Age]]&lt;=35,"Young Adult",
IF(Hospital[[#This Row],[Age]]&lt;=59,"Adult",
"Senior"))))</f>
        <v>Adult</v>
      </c>
      <c r="D404" t="s">
        <v>5</v>
      </c>
      <c r="E404" s="1">
        <v>45040</v>
      </c>
      <c r="F404" s="1" t="str">
        <f t="shared" si="12"/>
        <v>April</v>
      </c>
      <c r="G404" t="s">
        <v>19</v>
      </c>
      <c r="H404" t="s">
        <v>9</v>
      </c>
      <c r="I404" t="s">
        <v>3</v>
      </c>
      <c r="J404" t="str">
        <f t="shared" si="13"/>
        <v>Error: Should be None</v>
      </c>
      <c r="K404">
        <v>10</v>
      </c>
      <c r="L404" s="2">
        <v>209.89</v>
      </c>
      <c r="M404" t="s">
        <v>4</v>
      </c>
    </row>
    <row r="405" spans="1:13" x14ac:dyDescent="0.35">
      <c r="A405">
        <v>404</v>
      </c>
      <c r="B405">
        <v>42</v>
      </c>
      <c r="C405" t="str">
        <f>IF(Hospital[[#This Row],[Age]]&lt;=12,"Child",
IF(Hospital[[#This Row],[Age]]&lt;=19,"Teen",
IF(Hospital[[#This Row],[Age]]&lt;=35,"Young Adult",
IF(Hospital[[#This Row],[Age]]&lt;=59,"Adult",
"Senior"))))</f>
        <v>Adult</v>
      </c>
      <c r="D405" t="s">
        <v>5</v>
      </c>
      <c r="E405" s="1">
        <v>45271</v>
      </c>
      <c r="F405" s="1" t="str">
        <f t="shared" si="12"/>
        <v>December</v>
      </c>
      <c r="G405" t="s">
        <v>1</v>
      </c>
      <c r="H405" t="s">
        <v>14</v>
      </c>
      <c r="I405" t="s">
        <v>20</v>
      </c>
      <c r="J405" t="str">
        <f t="shared" si="13"/>
        <v>Error: Should be None</v>
      </c>
      <c r="K405">
        <v>10</v>
      </c>
      <c r="L405" s="2">
        <v>481.12</v>
      </c>
      <c r="M405" t="s">
        <v>16</v>
      </c>
    </row>
    <row r="406" spans="1:13" x14ac:dyDescent="0.35">
      <c r="A406">
        <v>405</v>
      </c>
      <c r="B406">
        <v>72</v>
      </c>
      <c r="C406" t="str">
        <f>IF(Hospital[[#This Row],[Age]]&lt;=12,"Child",
IF(Hospital[[#This Row],[Age]]&lt;=19,"Teen",
IF(Hospital[[#This Row],[Age]]&lt;=35,"Young Adult",
IF(Hospital[[#This Row],[Age]]&lt;=59,"Adult",
"Senior"))))</f>
        <v>Senior</v>
      </c>
      <c r="D406" t="s">
        <v>0</v>
      </c>
      <c r="E406" s="1">
        <v>45105</v>
      </c>
      <c r="F406" s="1" t="str">
        <f t="shared" si="12"/>
        <v>June</v>
      </c>
      <c r="G406" t="s">
        <v>1</v>
      </c>
      <c r="H406" t="s">
        <v>7</v>
      </c>
      <c r="I406" t="s">
        <v>3</v>
      </c>
      <c r="J406" t="str">
        <f t="shared" si="13"/>
        <v>Error: Should be None</v>
      </c>
      <c r="K406">
        <v>10</v>
      </c>
      <c r="L406" s="2">
        <v>302.7</v>
      </c>
      <c r="M406" t="s">
        <v>8</v>
      </c>
    </row>
    <row r="407" spans="1:13" x14ac:dyDescent="0.35">
      <c r="A407">
        <v>406</v>
      </c>
      <c r="B407">
        <v>38</v>
      </c>
      <c r="C407" t="str">
        <f>IF(Hospital[[#This Row],[Age]]&lt;=12,"Child",
IF(Hospital[[#This Row],[Age]]&lt;=19,"Teen",
IF(Hospital[[#This Row],[Age]]&lt;=35,"Young Adult",
IF(Hospital[[#This Row],[Age]]&lt;=59,"Adult",
"Senior"))))</f>
        <v>Adult</v>
      </c>
      <c r="D407" t="s">
        <v>5</v>
      </c>
      <c r="E407" s="1">
        <v>45314</v>
      </c>
      <c r="F407" s="1" t="str">
        <f t="shared" si="12"/>
        <v>January</v>
      </c>
      <c r="G407" t="s">
        <v>1</v>
      </c>
      <c r="H407" t="s">
        <v>14</v>
      </c>
      <c r="I407" t="s">
        <v>15</v>
      </c>
      <c r="J407" t="str">
        <f t="shared" si="13"/>
        <v>Error: Should be None</v>
      </c>
      <c r="K407">
        <v>9</v>
      </c>
      <c r="L407" s="2">
        <v>207.97</v>
      </c>
      <c r="M407" t="s">
        <v>4</v>
      </c>
    </row>
    <row r="408" spans="1:13" x14ac:dyDescent="0.35">
      <c r="A408">
        <v>407</v>
      </c>
      <c r="B408">
        <v>41</v>
      </c>
      <c r="C408" t="str">
        <f>IF(Hospital[[#This Row],[Age]]&lt;=12,"Child",
IF(Hospital[[#This Row],[Age]]&lt;=19,"Teen",
IF(Hospital[[#This Row],[Age]]&lt;=35,"Young Adult",
IF(Hospital[[#This Row],[Age]]&lt;=59,"Adult",
"Senior"))))</f>
        <v>Adult</v>
      </c>
      <c r="D408" t="s">
        <v>5</v>
      </c>
      <c r="E408" s="1">
        <v>45113</v>
      </c>
      <c r="F408" s="1" t="str">
        <f t="shared" si="12"/>
        <v>July</v>
      </c>
      <c r="G408" t="s">
        <v>11</v>
      </c>
      <c r="H408" t="s">
        <v>9</v>
      </c>
      <c r="I408" t="s">
        <v>3</v>
      </c>
      <c r="J408" t="str">
        <f t="shared" si="13"/>
        <v>Error: Should be None</v>
      </c>
      <c r="K408">
        <v>7</v>
      </c>
      <c r="L408" s="2">
        <v>87.51</v>
      </c>
      <c r="M408" t="s">
        <v>4</v>
      </c>
    </row>
    <row r="409" spans="1:13" x14ac:dyDescent="0.35">
      <c r="A409">
        <v>408</v>
      </c>
      <c r="B409">
        <v>41</v>
      </c>
      <c r="C409" t="str">
        <f>IF(Hospital[[#This Row],[Age]]&lt;=12,"Child",
IF(Hospital[[#This Row],[Age]]&lt;=19,"Teen",
IF(Hospital[[#This Row],[Age]]&lt;=35,"Young Adult",
IF(Hospital[[#This Row],[Age]]&lt;=59,"Adult",
"Senior"))))</f>
        <v>Adult</v>
      </c>
      <c r="D409" t="s">
        <v>5</v>
      </c>
      <c r="E409" s="1">
        <v>45170</v>
      </c>
      <c r="F409" s="1" t="str">
        <f t="shared" si="12"/>
        <v>September</v>
      </c>
      <c r="G409" t="s">
        <v>11</v>
      </c>
      <c r="H409" t="s">
        <v>14</v>
      </c>
      <c r="I409" t="s">
        <v>18</v>
      </c>
      <c r="J409" t="str">
        <f t="shared" si="13"/>
        <v>Error: Should be None</v>
      </c>
      <c r="K409">
        <v>7</v>
      </c>
      <c r="L409" s="2">
        <v>25.47</v>
      </c>
      <c r="M409" t="s">
        <v>8</v>
      </c>
    </row>
    <row r="410" spans="1:13" x14ac:dyDescent="0.35">
      <c r="A410">
        <v>409</v>
      </c>
      <c r="B410">
        <v>9</v>
      </c>
      <c r="C410" t="str">
        <f>IF(Hospital[[#This Row],[Age]]&lt;=12,"Child",
IF(Hospital[[#This Row],[Age]]&lt;=19,"Teen",
IF(Hospital[[#This Row],[Age]]&lt;=35,"Young Adult",
IF(Hospital[[#This Row],[Age]]&lt;=59,"Adult",
"Senior"))))</f>
        <v>Child</v>
      </c>
      <c r="D410" t="s">
        <v>0</v>
      </c>
      <c r="E410" s="1">
        <v>45182</v>
      </c>
      <c r="F410" s="1" t="str">
        <f t="shared" si="12"/>
        <v>September</v>
      </c>
      <c r="G410" t="s">
        <v>19</v>
      </c>
      <c r="H410" t="s">
        <v>7</v>
      </c>
      <c r="I410" t="s">
        <v>3</v>
      </c>
      <c r="J410" t="str">
        <f t="shared" si="13"/>
        <v>Error: Should be None</v>
      </c>
      <c r="K410">
        <v>1</v>
      </c>
      <c r="L410" s="2">
        <v>365.8</v>
      </c>
      <c r="M410" t="s">
        <v>4</v>
      </c>
    </row>
    <row r="411" spans="1:13" x14ac:dyDescent="0.35">
      <c r="A411">
        <v>410</v>
      </c>
      <c r="B411">
        <v>54</v>
      </c>
      <c r="C411" t="str">
        <f>IF(Hospital[[#This Row],[Age]]&lt;=12,"Child",
IF(Hospital[[#This Row],[Age]]&lt;=19,"Teen",
IF(Hospital[[#This Row],[Age]]&lt;=35,"Young Adult",
IF(Hospital[[#This Row],[Age]]&lt;=59,"Adult",
"Senior"))))</f>
        <v>Adult</v>
      </c>
      <c r="D411" t="s">
        <v>5</v>
      </c>
      <c r="E411" s="1">
        <v>45322</v>
      </c>
      <c r="F411" s="1" t="str">
        <f t="shared" si="12"/>
        <v>January</v>
      </c>
      <c r="G411" t="s">
        <v>6</v>
      </c>
      <c r="H411" t="s">
        <v>12</v>
      </c>
      <c r="I411" t="s">
        <v>20</v>
      </c>
      <c r="J411" t="str">
        <f t="shared" si="13"/>
        <v>Error: Should be None</v>
      </c>
      <c r="K411">
        <v>6</v>
      </c>
      <c r="L411" s="2">
        <v>188.59</v>
      </c>
      <c r="M411" t="s">
        <v>10</v>
      </c>
    </row>
    <row r="412" spans="1:13" x14ac:dyDescent="0.35">
      <c r="A412">
        <v>411</v>
      </c>
      <c r="B412">
        <v>74</v>
      </c>
      <c r="C412" t="str">
        <f>IF(Hospital[[#This Row],[Age]]&lt;=12,"Child",
IF(Hospital[[#This Row],[Age]]&lt;=19,"Teen",
IF(Hospital[[#This Row],[Age]]&lt;=35,"Young Adult",
IF(Hospital[[#This Row],[Age]]&lt;=59,"Adult",
"Senior"))))</f>
        <v>Senior</v>
      </c>
      <c r="D412" t="s">
        <v>5</v>
      </c>
      <c r="E412" s="1">
        <v>45030</v>
      </c>
      <c r="F412" s="1" t="str">
        <f t="shared" si="12"/>
        <v>April</v>
      </c>
      <c r="G412" t="s">
        <v>1</v>
      </c>
      <c r="H412" t="s">
        <v>12</v>
      </c>
      <c r="I412" t="s">
        <v>20</v>
      </c>
      <c r="J412" t="str">
        <f t="shared" si="13"/>
        <v>Error: Should be None</v>
      </c>
      <c r="K412">
        <v>1</v>
      </c>
      <c r="L412" s="2">
        <v>403.61</v>
      </c>
      <c r="M412" t="s">
        <v>4</v>
      </c>
    </row>
    <row r="413" spans="1:13" x14ac:dyDescent="0.35">
      <c r="A413">
        <v>412</v>
      </c>
      <c r="B413">
        <v>41</v>
      </c>
      <c r="C413" t="str">
        <f>IF(Hospital[[#This Row],[Age]]&lt;=12,"Child",
IF(Hospital[[#This Row],[Age]]&lt;=19,"Teen",
IF(Hospital[[#This Row],[Age]]&lt;=35,"Young Adult",
IF(Hospital[[#This Row],[Age]]&lt;=59,"Adult",
"Senior"))))</f>
        <v>Adult</v>
      </c>
      <c r="D413" t="s">
        <v>0</v>
      </c>
      <c r="E413" s="1">
        <v>45228</v>
      </c>
      <c r="F413" s="1" t="str">
        <f t="shared" si="12"/>
        <v>October</v>
      </c>
      <c r="G413" t="s">
        <v>11</v>
      </c>
      <c r="H413" t="s">
        <v>2</v>
      </c>
      <c r="I413" t="s">
        <v>3</v>
      </c>
      <c r="J413" t="str">
        <f t="shared" si="13"/>
        <v>Error: Should be None</v>
      </c>
      <c r="K413">
        <v>1</v>
      </c>
      <c r="L413" s="2">
        <v>184.07</v>
      </c>
      <c r="M413" t="s">
        <v>10</v>
      </c>
    </row>
    <row r="414" spans="1:13" x14ac:dyDescent="0.35">
      <c r="A414">
        <v>413</v>
      </c>
      <c r="B414">
        <v>10</v>
      </c>
      <c r="C414" t="str">
        <f>IF(Hospital[[#This Row],[Age]]&lt;=12,"Child",
IF(Hospital[[#This Row],[Age]]&lt;=19,"Teen",
IF(Hospital[[#This Row],[Age]]&lt;=35,"Young Adult",
IF(Hospital[[#This Row],[Age]]&lt;=59,"Adult",
"Senior"))))</f>
        <v>Child</v>
      </c>
      <c r="D414" t="s">
        <v>5</v>
      </c>
      <c r="E414" s="1">
        <v>45091</v>
      </c>
      <c r="F414" s="1" t="str">
        <f t="shared" si="12"/>
        <v>June</v>
      </c>
      <c r="G414" t="s">
        <v>19</v>
      </c>
      <c r="H414" t="s">
        <v>7</v>
      </c>
      <c r="I414" t="s">
        <v>3</v>
      </c>
      <c r="J414" t="str">
        <f t="shared" si="13"/>
        <v>Error: Should be None</v>
      </c>
      <c r="K414">
        <v>9</v>
      </c>
      <c r="L414" s="2">
        <v>492.93</v>
      </c>
      <c r="M414" t="s">
        <v>10</v>
      </c>
    </row>
    <row r="415" spans="1:13" x14ac:dyDescent="0.35">
      <c r="A415">
        <v>414</v>
      </c>
      <c r="B415">
        <v>56</v>
      </c>
      <c r="C415" t="str">
        <f>IF(Hospital[[#This Row],[Age]]&lt;=12,"Child",
IF(Hospital[[#This Row],[Age]]&lt;=19,"Teen",
IF(Hospital[[#This Row],[Age]]&lt;=35,"Young Adult",
IF(Hospital[[#This Row],[Age]]&lt;=59,"Adult",
"Senior"))))</f>
        <v>Adult</v>
      </c>
      <c r="D415" t="s">
        <v>5</v>
      </c>
      <c r="E415" s="1">
        <v>45648</v>
      </c>
      <c r="F415" s="1" t="str">
        <f t="shared" si="12"/>
        <v>December</v>
      </c>
      <c r="G415" t="s">
        <v>6</v>
      </c>
      <c r="H415" t="s">
        <v>2</v>
      </c>
      <c r="I415" t="s">
        <v>3</v>
      </c>
      <c r="J415" t="str">
        <f t="shared" si="13"/>
        <v>Error: Should be None</v>
      </c>
      <c r="K415">
        <v>2</v>
      </c>
      <c r="L415" s="2">
        <v>45.71</v>
      </c>
      <c r="M415" t="s">
        <v>16</v>
      </c>
    </row>
    <row r="416" spans="1:13" x14ac:dyDescent="0.35">
      <c r="A416">
        <v>415</v>
      </c>
      <c r="B416">
        <v>53</v>
      </c>
      <c r="C416" t="str">
        <f>IF(Hospital[[#This Row],[Age]]&lt;=12,"Child",
IF(Hospital[[#This Row],[Age]]&lt;=19,"Teen",
IF(Hospital[[#This Row],[Age]]&lt;=35,"Young Adult",
IF(Hospital[[#This Row],[Age]]&lt;=59,"Adult",
"Senior"))))</f>
        <v>Adult</v>
      </c>
      <c r="D416" t="s">
        <v>0</v>
      </c>
      <c r="E416" s="1">
        <v>45137</v>
      </c>
      <c r="F416" s="1" t="str">
        <f t="shared" si="12"/>
        <v>July</v>
      </c>
      <c r="G416" t="s">
        <v>19</v>
      </c>
      <c r="H416" t="s">
        <v>17</v>
      </c>
      <c r="I416" t="s">
        <v>18</v>
      </c>
      <c r="J416" t="str">
        <f t="shared" si="13"/>
        <v>Error: Should be None</v>
      </c>
      <c r="K416">
        <v>3</v>
      </c>
      <c r="L416" s="2">
        <v>66.040000000000006</v>
      </c>
      <c r="M416" t="s">
        <v>10</v>
      </c>
    </row>
    <row r="417" spans="1:13" x14ac:dyDescent="0.35">
      <c r="A417">
        <v>416</v>
      </c>
      <c r="B417">
        <v>63</v>
      </c>
      <c r="C417" t="str">
        <f>IF(Hospital[[#This Row],[Age]]&lt;=12,"Child",
IF(Hospital[[#This Row],[Age]]&lt;=19,"Teen",
IF(Hospital[[#This Row],[Age]]&lt;=35,"Young Adult",
IF(Hospital[[#This Row],[Age]]&lt;=59,"Adult",
"Senior"))))</f>
        <v>Senior</v>
      </c>
      <c r="D417" t="s">
        <v>5</v>
      </c>
      <c r="E417" s="1">
        <v>45512</v>
      </c>
      <c r="F417" s="1" t="str">
        <f t="shared" si="12"/>
        <v>August</v>
      </c>
      <c r="G417" t="s">
        <v>11</v>
      </c>
      <c r="H417" t="s">
        <v>9</v>
      </c>
      <c r="I417" t="s">
        <v>3</v>
      </c>
      <c r="J417" t="str">
        <f t="shared" si="13"/>
        <v>Error: Should be None</v>
      </c>
      <c r="K417">
        <v>5</v>
      </c>
      <c r="L417" s="2">
        <v>21.83</v>
      </c>
      <c r="M417" t="s">
        <v>4</v>
      </c>
    </row>
    <row r="418" spans="1:13" x14ac:dyDescent="0.35">
      <c r="A418">
        <v>417</v>
      </c>
      <c r="B418">
        <v>81</v>
      </c>
      <c r="C418" t="str">
        <f>IF(Hospital[[#This Row],[Age]]&lt;=12,"Child",
IF(Hospital[[#This Row],[Age]]&lt;=19,"Teen",
IF(Hospital[[#This Row],[Age]]&lt;=35,"Young Adult",
IF(Hospital[[#This Row],[Age]]&lt;=59,"Adult",
"Senior"))))</f>
        <v>Senior</v>
      </c>
      <c r="D418" t="s">
        <v>0</v>
      </c>
      <c r="E418" s="1">
        <v>45228</v>
      </c>
      <c r="F418" s="1" t="str">
        <f t="shared" si="12"/>
        <v>October</v>
      </c>
      <c r="G418" t="s">
        <v>1</v>
      </c>
      <c r="H418" t="s">
        <v>7</v>
      </c>
      <c r="I418" t="s">
        <v>3</v>
      </c>
      <c r="J418" t="str">
        <f t="shared" si="13"/>
        <v>Error: Should be None</v>
      </c>
      <c r="K418">
        <v>1</v>
      </c>
      <c r="L418" s="2">
        <v>32.35</v>
      </c>
      <c r="M418" t="s">
        <v>8</v>
      </c>
    </row>
    <row r="419" spans="1:13" x14ac:dyDescent="0.35">
      <c r="A419">
        <v>418</v>
      </c>
      <c r="B419">
        <v>11</v>
      </c>
      <c r="C419" t="str">
        <f>IF(Hospital[[#This Row],[Age]]&lt;=12,"Child",
IF(Hospital[[#This Row],[Age]]&lt;=19,"Teen",
IF(Hospital[[#This Row],[Age]]&lt;=35,"Young Adult",
IF(Hospital[[#This Row],[Age]]&lt;=59,"Adult",
"Senior"))))</f>
        <v>Child</v>
      </c>
      <c r="D419" t="s">
        <v>0</v>
      </c>
      <c r="E419" s="1">
        <v>45580</v>
      </c>
      <c r="F419" s="1" t="str">
        <f t="shared" si="12"/>
        <v>October</v>
      </c>
      <c r="G419" t="s">
        <v>11</v>
      </c>
      <c r="H419" t="s">
        <v>14</v>
      </c>
      <c r="I419" t="s">
        <v>18</v>
      </c>
      <c r="J419" t="str">
        <f t="shared" si="13"/>
        <v>Error: Should be None</v>
      </c>
      <c r="K419">
        <v>6</v>
      </c>
      <c r="L419" s="2">
        <v>246.05</v>
      </c>
      <c r="M419" t="s">
        <v>16</v>
      </c>
    </row>
    <row r="420" spans="1:13" x14ac:dyDescent="0.35">
      <c r="A420">
        <v>419</v>
      </c>
      <c r="B420">
        <v>70</v>
      </c>
      <c r="C420" t="str">
        <f>IF(Hospital[[#This Row],[Age]]&lt;=12,"Child",
IF(Hospital[[#This Row],[Age]]&lt;=19,"Teen",
IF(Hospital[[#This Row],[Age]]&lt;=35,"Young Adult",
IF(Hospital[[#This Row],[Age]]&lt;=59,"Adult",
"Senior"))))</f>
        <v>Senior</v>
      </c>
      <c r="D420" t="s">
        <v>0</v>
      </c>
      <c r="E420" s="1">
        <v>45020</v>
      </c>
      <c r="F420" s="1" t="str">
        <f t="shared" si="12"/>
        <v>April</v>
      </c>
      <c r="G420" t="s">
        <v>1</v>
      </c>
      <c r="H420" t="s">
        <v>7</v>
      </c>
      <c r="I420" t="s">
        <v>3</v>
      </c>
      <c r="J420" t="str">
        <f t="shared" si="13"/>
        <v>Error: Should be None</v>
      </c>
      <c r="K420">
        <v>5</v>
      </c>
      <c r="L420" s="2">
        <v>445.04</v>
      </c>
      <c r="M420" t="s">
        <v>16</v>
      </c>
    </row>
    <row r="421" spans="1:13" x14ac:dyDescent="0.35">
      <c r="A421">
        <v>420</v>
      </c>
      <c r="B421">
        <v>6</v>
      </c>
      <c r="C421" t="str">
        <f>IF(Hospital[[#This Row],[Age]]&lt;=12,"Child",
IF(Hospital[[#This Row],[Age]]&lt;=19,"Teen",
IF(Hospital[[#This Row],[Age]]&lt;=35,"Young Adult",
IF(Hospital[[#This Row],[Age]]&lt;=59,"Adult",
"Senior"))))</f>
        <v>Child</v>
      </c>
      <c r="D421" t="s">
        <v>0</v>
      </c>
      <c r="E421" s="1">
        <v>45118</v>
      </c>
      <c r="F421" s="1" t="str">
        <f t="shared" si="12"/>
        <v>July</v>
      </c>
      <c r="G421" t="s">
        <v>6</v>
      </c>
      <c r="H421" t="s">
        <v>12</v>
      </c>
      <c r="I421" t="s">
        <v>20</v>
      </c>
      <c r="J421" t="str">
        <f t="shared" si="13"/>
        <v>Error: Should be None</v>
      </c>
      <c r="K421">
        <v>4</v>
      </c>
      <c r="L421" s="2">
        <v>128.6</v>
      </c>
      <c r="M421" t="s">
        <v>16</v>
      </c>
    </row>
    <row r="422" spans="1:13" x14ac:dyDescent="0.35">
      <c r="A422">
        <v>421</v>
      </c>
      <c r="B422">
        <v>20</v>
      </c>
      <c r="C42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22" t="s">
        <v>5</v>
      </c>
      <c r="E422" s="1">
        <v>45504</v>
      </c>
      <c r="F422" s="1" t="str">
        <f t="shared" si="12"/>
        <v>July</v>
      </c>
      <c r="G422" t="s">
        <v>11</v>
      </c>
      <c r="H422" t="s">
        <v>2</v>
      </c>
      <c r="I422" t="s">
        <v>3</v>
      </c>
      <c r="J422" t="str">
        <f t="shared" si="13"/>
        <v>Error: Should be None</v>
      </c>
      <c r="K422">
        <v>10</v>
      </c>
      <c r="L422" s="2">
        <v>185.02</v>
      </c>
      <c r="M422" t="s">
        <v>10</v>
      </c>
    </row>
    <row r="423" spans="1:13" x14ac:dyDescent="0.35">
      <c r="A423">
        <v>422</v>
      </c>
      <c r="B423">
        <v>71</v>
      </c>
      <c r="C423" t="str">
        <f>IF(Hospital[[#This Row],[Age]]&lt;=12,"Child",
IF(Hospital[[#This Row],[Age]]&lt;=19,"Teen",
IF(Hospital[[#This Row],[Age]]&lt;=35,"Young Adult",
IF(Hospital[[#This Row],[Age]]&lt;=59,"Adult",
"Senior"))))</f>
        <v>Senior</v>
      </c>
      <c r="D423" t="s">
        <v>5</v>
      </c>
      <c r="E423" s="1">
        <v>45530</v>
      </c>
      <c r="F423" s="1" t="str">
        <f t="shared" si="12"/>
        <v>August</v>
      </c>
      <c r="G423" t="s">
        <v>6</v>
      </c>
      <c r="H423" t="s">
        <v>17</v>
      </c>
      <c r="I423" t="s">
        <v>3</v>
      </c>
      <c r="J423" t="str">
        <f t="shared" si="13"/>
        <v>Error: Should be None</v>
      </c>
      <c r="K423">
        <v>6</v>
      </c>
      <c r="L423" s="2">
        <v>483.5</v>
      </c>
      <c r="M423" t="s">
        <v>10</v>
      </c>
    </row>
    <row r="424" spans="1:13" x14ac:dyDescent="0.35">
      <c r="A424">
        <v>423</v>
      </c>
      <c r="B424">
        <v>61</v>
      </c>
      <c r="C424" t="str">
        <f>IF(Hospital[[#This Row],[Age]]&lt;=12,"Child",
IF(Hospital[[#This Row],[Age]]&lt;=19,"Teen",
IF(Hospital[[#This Row],[Age]]&lt;=35,"Young Adult",
IF(Hospital[[#This Row],[Age]]&lt;=59,"Adult",
"Senior"))))</f>
        <v>Senior</v>
      </c>
      <c r="D424" t="s">
        <v>0</v>
      </c>
      <c r="E424" s="1">
        <v>45513</v>
      </c>
      <c r="F424" s="1" t="str">
        <f t="shared" si="12"/>
        <v>August</v>
      </c>
      <c r="G424" t="s">
        <v>11</v>
      </c>
      <c r="H424" t="s">
        <v>17</v>
      </c>
      <c r="I424" t="s">
        <v>20</v>
      </c>
      <c r="J424" t="str">
        <f t="shared" si="13"/>
        <v>Error: Should be None</v>
      </c>
      <c r="K424">
        <v>0</v>
      </c>
      <c r="L424" s="2">
        <v>261.01</v>
      </c>
      <c r="M424" t="s">
        <v>8</v>
      </c>
    </row>
    <row r="425" spans="1:13" x14ac:dyDescent="0.35">
      <c r="A425">
        <v>424</v>
      </c>
      <c r="B425">
        <v>23</v>
      </c>
      <c r="C42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25" t="s">
        <v>5</v>
      </c>
      <c r="E425" s="1">
        <v>45050</v>
      </c>
      <c r="F425" s="1" t="str">
        <f t="shared" si="12"/>
        <v>May</v>
      </c>
      <c r="G425" t="s">
        <v>1</v>
      </c>
      <c r="H425" t="s">
        <v>12</v>
      </c>
      <c r="I425" t="s">
        <v>13</v>
      </c>
      <c r="J425" t="str">
        <f t="shared" si="13"/>
        <v>Error: Should be None</v>
      </c>
      <c r="K425">
        <v>2</v>
      </c>
      <c r="L425" s="2">
        <v>40.479999999999997</v>
      </c>
      <c r="M425" t="s">
        <v>4</v>
      </c>
    </row>
    <row r="426" spans="1:13" x14ac:dyDescent="0.35">
      <c r="A426">
        <v>425</v>
      </c>
      <c r="B426">
        <v>26</v>
      </c>
      <c r="C42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26" t="s">
        <v>5</v>
      </c>
      <c r="E426" s="1">
        <v>45626</v>
      </c>
      <c r="F426" s="1" t="str">
        <f t="shared" si="12"/>
        <v>November</v>
      </c>
      <c r="G426" t="s">
        <v>19</v>
      </c>
      <c r="H426" t="s">
        <v>12</v>
      </c>
      <c r="I426" t="s">
        <v>18</v>
      </c>
      <c r="J426" t="str">
        <f t="shared" si="13"/>
        <v>Error: Should be None</v>
      </c>
      <c r="K426">
        <v>1</v>
      </c>
      <c r="L426" s="2">
        <v>61.77</v>
      </c>
      <c r="M426" t="s">
        <v>10</v>
      </c>
    </row>
    <row r="427" spans="1:13" x14ac:dyDescent="0.35">
      <c r="A427">
        <v>426</v>
      </c>
      <c r="B427">
        <v>36</v>
      </c>
      <c r="C427" t="str">
        <f>IF(Hospital[[#This Row],[Age]]&lt;=12,"Child",
IF(Hospital[[#This Row],[Age]]&lt;=19,"Teen",
IF(Hospital[[#This Row],[Age]]&lt;=35,"Young Adult",
IF(Hospital[[#This Row],[Age]]&lt;=59,"Adult",
"Senior"))))</f>
        <v>Adult</v>
      </c>
      <c r="D427" t="s">
        <v>0</v>
      </c>
      <c r="E427" s="1">
        <v>45492</v>
      </c>
      <c r="F427" s="1" t="str">
        <f t="shared" si="12"/>
        <v>July</v>
      </c>
      <c r="G427" t="s">
        <v>11</v>
      </c>
      <c r="H427" t="s">
        <v>14</v>
      </c>
      <c r="I427" t="s">
        <v>3</v>
      </c>
      <c r="J427" t="str">
        <f t="shared" si="13"/>
        <v>Error: Should be None</v>
      </c>
      <c r="K427">
        <v>9</v>
      </c>
      <c r="L427" s="2">
        <v>270.83</v>
      </c>
      <c r="M427" t="s">
        <v>10</v>
      </c>
    </row>
    <row r="428" spans="1:13" x14ac:dyDescent="0.35">
      <c r="A428">
        <v>427</v>
      </c>
      <c r="B428">
        <v>20</v>
      </c>
      <c r="C42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28" t="s">
        <v>5</v>
      </c>
      <c r="E428" s="1">
        <v>45042</v>
      </c>
      <c r="F428" s="1" t="str">
        <f t="shared" si="12"/>
        <v>April</v>
      </c>
      <c r="G428" t="s">
        <v>11</v>
      </c>
      <c r="H428" t="s">
        <v>12</v>
      </c>
      <c r="I428" t="s">
        <v>15</v>
      </c>
      <c r="J428" t="str">
        <f t="shared" si="13"/>
        <v>Error: Should be None</v>
      </c>
      <c r="K428">
        <v>9</v>
      </c>
      <c r="L428" s="2">
        <v>394.18</v>
      </c>
      <c r="M428" t="s">
        <v>16</v>
      </c>
    </row>
    <row r="429" spans="1:13" x14ac:dyDescent="0.35">
      <c r="A429">
        <v>428</v>
      </c>
      <c r="B429">
        <v>53</v>
      </c>
      <c r="C429" t="str">
        <f>IF(Hospital[[#This Row],[Age]]&lt;=12,"Child",
IF(Hospital[[#This Row],[Age]]&lt;=19,"Teen",
IF(Hospital[[#This Row],[Age]]&lt;=35,"Young Adult",
IF(Hospital[[#This Row],[Age]]&lt;=59,"Adult",
"Senior"))))</f>
        <v>Adult</v>
      </c>
      <c r="D429" t="s">
        <v>0</v>
      </c>
      <c r="E429" s="1">
        <v>45475</v>
      </c>
      <c r="F429" s="1" t="str">
        <f t="shared" si="12"/>
        <v>July</v>
      </c>
      <c r="G429" t="s">
        <v>6</v>
      </c>
      <c r="H429" t="s">
        <v>14</v>
      </c>
      <c r="I429" t="s">
        <v>20</v>
      </c>
      <c r="J429" t="str">
        <f t="shared" si="13"/>
        <v>Error: Should be None</v>
      </c>
      <c r="K429">
        <v>9</v>
      </c>
      <c r="L429" s="2">
        <v>312.3</v>
      </c>
      <c r="M429" t="s">
        <v>4</v>
      </c>
    </row>
    <row r="430" spans="1:13" x14ac:dyDescent="0.35">
      <c r="A430">
        <v>429</v>
      </c>
      <c r="B430">
        <v>52</v>
      </c>
      <c r="C430" t="str">
        <f>IF(Hospital[[#This Row],[Age]]&lt;=12,"Child",
IF(Hospital[[#This Row],[Age]]&lt;=19,"Teen",
IF(Hospital[[#This Row],[Age]]&lt;=35,"Young Adult",
IF(Hospital[[#This Row],[Age]]&lt;=59,"Adult",
"Senior"))))</f>
        <v>Adult</v>
      </c>
      <c r="D430" t="s">
        <v>5</v>
      </c>
      <c r="E430" s="1">
        <v>45103</v>
      </c>
      <c r="F430" s="1" t="str">
        <f t="shared" si="12"/>
        <v>June</v>
      </c>
      <c r="G430" t="s">
        <v>6</v>
      </c>
      <c r="H430" t="s">
        <v>14</v>
      </c>
      <c r="I430" t="s">
        <v>15</v>
      </c>
      <c r="J430" t="str">
        <f t="shared" si="13"/>
        <v>Error: Should be None</v>
      </c>
      <c r="K430">
        <v>6</v>
      </c>
      <c r="L430" s="2">
        <v>447</v>
      </c>
      <c r="M430" t="s">
        <v>16</v>
      </c>
    </row>
    <row r="431" spans="1:13" x14ac:dyDescent="0.35">
      <c r="A431">
        <v>430</v>
      </c>
      <c r="B431">
        <v>7</v>
      </c>
      <c r="C431" t="str">
        <f>IF(Hospital[[#This Row],[Age]]&lt;=12,"Child",
IF(Hospital[[#This Row],[Age]]&lt;=19,"Teen",
IF(Hospital[[#This Row],[Age]]&lt;=35,"Young Adult",
IF(Hospital[[#This Row],[Age]]&lt;=59,"Adult",
"Senior"))))</f>
        <v>Child</v>
      </c>
      <c r="D431" t="s">
        <v>0</v>
      </c>
      <c r="E431" s="1">
        <v>45634</v>
      </c>
      <c r="F431" s="1" t="str">
        <f t="shared" si="12"/>
        <v>December</v>
      </c>
      <c r="G431" t="s">
        <v>19</v>
      </c>
      <c r="H431" t="s">
        <v>17</v>
      </c>
      <c r="I431" t="s">
        <v>18</v>
      </c>
      <c r="J431" t="str">
        <f t="shared" si="13"/>
        <v>Error: Should be None</v>
      </c>
      <c r="K431">
        <v>0</v>
      </c>
      <c r="L431" s="2">
        <v>182.18</v>
      </c>
      <c r="M431" t="s">
        <v>16</v>
      </c>
    </row>
    <row r="432" spans="1:13" x14ac:dyDescent="0.35">
      <c r="A432">
        <v>431</v>
      </c>
      <c r="B432">
        <v>63</v>
      </c>
      <c r="C432" t="str">
        <f>IF(Hospital[[#This Row],[Age]]&lt;=12,"Child",
IF(Hospital[[#This Row],[Age]]&lt;=19,"Teen",
IF(Hospital[[#This Row],[Age]]&lt;=35,"Young Adult",
IF(Hospital[[#This Row],[Age]]&lt;=59,"Adult",
"Senior"))))</f>
        <v>Senior</v>
      </c>
      <c r="D432" t="s">
        <v>5</v>
      </c>
      <c r="E432" s="1">
        <v>45245</v>
      </c>
      <c r="F432" s="1" t="str">
        <f t="shared" si="12"/>
        <v>November</v>
      </c>
      <c r="G432" t="s">
        <v>1</v>
      </c>
      <c r="H432" t="s">
        <v>14</v>
      </c>
      <c r="I432" t="s">
        <v>13</v>
      </c>
      <c r="J432" t="str">
        <f t="shared" si="13"/>
        <v>Error: Should be None</v>
      </c>
      <c r="K432">
        <v>4</v>
      </c>
      <c r="L432" s="2">
        <v>487.63</v>
      </c>
      <c r="M432" t="s">
        <v>10</v>
      </c>
    </row>
    <row r="433" spans="1:13" x14ac:dyDescent="0.35">
      <c r="A433">
        <v>432</v>
      </c>
      <c r="B433">
        <v>54</v>
      </c>
      <c r="C433" t="str">
        <f>IF(Hospital[[#This Row],[Age]]&lt;=12,"Child",
IF(Hospital[[#This Row],[Age]]&lt;=19,"Teen",
IF(Hospital[[#This Row],[Age]]&lt;=35,"Young Adult",
IF(Hospital[[#This Row],[Age]]&lt;=59,"Adult",
"Senior"))))</f>
        <v>Adult</v>
      </c>
      <c r="D433" t="s">
        <v>5</v>
      </c>
      <c r="E433" s="1">
        <v>45255</v>
      </c>
      <c r="F433" s="1" t="str">
        <f t="shared" si="12"/>
        <v>November</v>
      </c>
      <c r="G433" t="s">
        <v>1</v>
      </c>
      <c r="H433" t="s">
        <v>14</v>
      </c>
      <c r="I433" t="s">
        <v>20</v>
      </c>
      <c r="J433" t="str">
        <f t="shared" si="13"/>
        <v>Error: Should be None</v>
      </c>
      <c r="K433">
        <v>3</v>
      </c>
      <c r="L433" s="2">
        <v>458.45</v>
      </c>
      <c r="M433" t="s">
        <v>10</v>
      </c>
    </row>
    <row r="434" spans="1:13" x14ac:dyDescent="0.35">
      <c r="A434">
        <v>433</v>
      </c>
      <c r="B434">
        <v>48</v>
      </c>
      <c r="C434" t="str">
        <f>IF(Hospital[[#This Row],[Age]]&lt;=12,"Child",
IF(Hospital[[#This Row],[Age]]&lt;=19,"Teen",
IF(Hospital[[#This Row],[Age]]&lt;=35,"Young Adult",
IF(Hospital[[#This Row],[Age]]&lt;=59,"Adult",
"Senior"))))</f>
        <v>Adult</v>
      </c>
      <c r="D434" t="s">
        <v>5</v>
      </c>
      <c r="E434" s="1">
        <v>45423</v>
      </c>
      <c r="F434" s="1" t="str">
        <f t="shared" si="12"/>
        <v>May</v>
      </c>
      <c r="G434" t="s">
        <v>1</v>
      </c>
      <c r="H434" t="s">
        <v>9</v>
      </c>
      <c r="I434" t="s">
        <v>3</v>
      </c>
      <c r="J434" t="str">
        <f t="shared" si="13"/>
        <v>Error: Should be None</v>
      </c>
      <c r="K434">
        <v>1</v>
      </c>
      <c r="L434" s="2">
        <v>169.34</v>
      </c>
      <c r="M434" t="s">
        <v>10</v>
      </c>
    </row>
    <row r="435" spans="1:13" x14ac:dyDescent="0.35">
      <c r="A435">
        <v>434</v>
      </c>
      <c r="B435">
        <v>73</v>
      </c>
      <c r="C435" t="str">
        <f>IF(Hospital[[#This Row],[Age]]&lt;=12,"Child",
IF(Hospital[[#This Row],[Age]]&lt;=19,"Teen",
IF(Hospital[[#This Row],[Age]]&lt;=35,"Young Adult",
IF(Hospital[[#This Row],[Age]]&lt;=59,"Adult",
"Senior"))))</f>
        <v>Senior</v>
      </c>
      <c r="D435" t="s">
        <v>5</v>
      </c>
      <c r="E435" s="1">
        <v>45065</v>
      </c>
      <c r="F435" s="1" t="str">
        <f t="shared" si="12"/>
        <v>May</v>
      </c>
      <c r="G435" t="s">
        <v>1</v>
      </c>
      <c r="H435" t="s">
        <v>9</v>
      </c>
      <c r="I435" t="s">
        <v>3</v>
      </c>
      <c r="J435" t="str">
        <f t="shared" si="13"/>
        <v>Error: Should be None</v>
      </c>
      <c r="K435">
        <v>3</v>
      </c>
      <c r="L435" s="2">
        <v>440.09</v>
      </c>
      <c r="M435" t="s">
        <v>8</v>
      </c>
    </row>
    <row r="436" spans="1:13" x14ac:dyDescent="0.35">
      <c r="A436">
        <v>435</v>
      </c>
      <c r="B436">
        <v>5</v>
      </c>
      <c r="C436" t="str">
        <f>IF(Hospital[[#This Row],[Age]]&lt;=12,"Child",
IF(Hospital[[#This Row],[Age]]&lt;=19,"Teen",
IF(Hospital[[#This Row],[Age]]&lt;=35,"Young Adult",
IF(Hospital[[#This Row],[Age]]&lt;=59,"Adult",
"Senior"))))</f>
        <v>Child</v>
      </c>
      <c r="D436" t="s">
        <v>0</v>
      </c>
      <c r="E436" s="1">
        <v>44986</v>
      </c>
      <c r="F436" s="1" t="str">
        <f t="shared" si="12"/>
        <v>March</v>
      </c>
      <c r="G436" t="s">
        <v>11</v>
      </c>
      <c r="H436" t="s">
        <v>17</v>
      </c>
      <c r="I436" t="s">
        <v>18</v>
      </c>
      <c r="J436" t="str">
        <f t="shared" si="13"/>
        <v>Error: Should be None</v>
      </c>
      <c r="K436">
        <v>3</v>
      </c>
      <c r="L436" s="2">
        <v>151.51</v>
      </c>
      <c r="M436" t="s">
        <v>10</v>
      </c>
    </row>
    <row r="437" spans="1:13" x14ac:dyDescent="0.35">
      <c r="A437">
        <v>436</v>
      </c>
      <c r="B437">
        <v>82</v>
      </c>
      <c r="C437" t="str">
        <f>IF(Hospital[[#This Row],[Age]]&lt;=12,"Child",
IF(Hospital[[#This Row],[Age]]&lt;=19,"Teen",
IF(Hospital[[#This Row],[Age]]&lt;=35,"Young Adult",
IF(Hospital[[#This Row],[Age]]&lt;=59,"Adult",
"Senior"))))</f>
        <v>Senior</v>
      </c>
      <c r="D437" t="s">
        <v>5</v>
      </c>
      <c r="E437" s="1">
        <v>45444</v>
      </c>
      <c r="F437" s="1" t="str">
        <f t="shared" si="12"/>
        <v>June</v>
      </c>
      <c r="G437" t="s">
        <v>11</v>
      </c>
      <c r="H437" t="s">
        <v>12</v>
      </c>
      <c r="I437" t="s">
        <v>13</v>
      </c>
      <c r="J437" t="str">
        <f t="shared" si="13"/>
        <v>Error: Should be None</v>
      </c>
      <c r="K437">
        <v>5</v>
      </c>
      <c r="L437" s="2">
        <v>254.62</v>
      </c>
      <c r="M437" t="s">
        <v>10</v>
      </c>
    </row>
    <row r="438" spans="1:13" x14ac:dyDescent="0.35">
      <c r="A438">
        <v>437</v>
      </c>
      <c r="B438">
        <v>76</v>
      </c>
      <c r="C438" t="str">
        <f>IF(Hospital[[#This Row],[Age]]&lt;=12,"Child",
IF(Hospital[[#This Row],[Age]]&lt;=19,"Teen",
IF(Hospital[[#This Row],[Age]]&lt;=35,"Young Adult",
IF(Hospital[[#This Row],[Age]]&lt;=59,"Adult",
"Senior"))))</f>
        <v>Senior</v>
      </c>
      <c r="D438" t="s">
        <v>0</v>
      </c>
      <c r="E438" s="1">
        <v>45108</v>
      </c>
      <c r="F438" s="1" t="str">
        <f t="shared" si="12"/>
        <v>July</v>
      </c>
      <c r="G438" t="s">
        <v>19</v>
      </c>
      <c r="H438" t="s">
        <v>12</v>
      </c>
      <c r="I438" t="s">
        <v>13</v>
      </c>
      <c r="J438" t="str">
        <f t="shared" si="13"/>
        <v>Error: Should be None</v>
      </c>
      <c r="K438">
        <v>4</v>
      </c>
      <c r="L438" s="2">
        <v>379.5</v>
      </c>
      <c r="M438" t="s">
        <v>4</v>
      </c>
    </row>
    <row r="439" spans="1:13" x14ac:dyDescent="0.35">
      <c r="A439">
        <v>438</v>
      </c>
      <c r="B439">
        <v>50</v>
      </c>
      <c r="C439" t="str">
        <f>IF(Hospital[[#This Row],[Age]]&lt;=12,"Child",
IF(Hospital[[#This Row],[Age]]&lt;=19,"Teen",
IF(Hospital[[#This Row],[Age]]&lt;=35,"Young Adult",
IF(Hospital[[#This Row],[Age]]&lt;=59,"Adult",
"Senior"))))</f>
        <v>Adult</v>
      </c>
      <c r="D439" t="s">
        <v>5</v>
      </c>
      <c r="E439" s="1">
        <v>45218</v>
      </c>
      <c r="F439" s="1" t="str">
        <f t="shared" si="12"/>
        <v>October</v>
      </c>
      <c r="G439" t="s">
        <v>1</v>
      </c>
      <c r="H439" t="s">
        <v>2</v>
      </c>
      <c r="I439" t="s">
        <v>3</v>
      </c>
      <c r="J439" t="str">
        <f t="shared" si="13"/>
        <v>Error: Should be None</v>
      </c>
      <c r="K439">
        <v>9</v>
      </c>
      <c r="L439" s="2">
        <v>394.32</v>
      </c>
      <c r="M439" t="s">
        <v>8</v>
      </c>
    </row>
    <row r="440" spans="1:13" x14ac:dyDescent="0.35">
      <c r="A440">
        <v>439</v>
      </c>
      <c r="B440">
        <v>29</v>
      </c>
      <c r="C44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40" t="s">
        <v>5</v>
      </c>
      <c r="E440" s="1">
        <v>45153</v>
      </c>
      <c r="F440" s="1" t="str">
        <f t="shared" si="12"/>
        <v>August</v>
      </c>
      <c r="G440" t="s">
        <v>19</v>
      </c>
      <c r="H440" t="s">
        <v>7</v>
      </c>
      <c r="I440" t="s">
        <v>3</v>
      </c>
      <c r="J440" t="str">
        <f t="shared" si="13"/>
        <v>Error: Should be None</v>
      </c>
      <c r="K440">
        <v>10</v>
      </c>
      <c r="L440" s="2">
        <v>216.56</v>
      </c>
      <c r="M440" t="s">
        <v>4</v>
      </c>
    </row>
    <row r="441" spans="1:13" x14ac:dyDescent="0.35">
      <c r="A441">
        <v>440</v>
      </c>
      <c r="B441">
        <v>61</v>
      </c>
      <c r="C441" t="str">
        <f>IF(Hospital[[#This Row],[Age]]&lt;=12,"Child",
IF(Hospital[[#This Row],[Age]]&lt;=19,"Teen",
IF(Hospital[[#This Row],[Age]]&lt;=35,"Young Adult",
IF(Hospital[[#This Row],[Age]]&lt;=59,"Adult",
"Senior"))))</f>
        <v>Senior</v>
      </c>
      <c r="D441" t="s">
        <v>5</v>
      </c>
      <c r="E441" s="1">
        <v>45625</v>
      </c>
      <c r="F441" s="1" t="str">
        <f t="shared" si="12"/>
        <v>November</v>
      </c>
      <c r="G441" t="s">
        <v>1</v>
      </c>
      <c r="H441" t="s">
        <v>2</v>
      </c>
      <c r="I441" t="s">
        <v>3</v>
      </c>
      <c r="J441" t="str">
        <f t="shared" si="13"/>
        <v>Error: Should be None</v>
      </c>
      <c r="K441">
        <v>9</v>
      </c>
      <c r="L441" s="2">
        <v>404.42</v>
      </c>
      <c r="M441" t="s">
        <v>8</v>
      </c>
    </row>
    <row r="442" spans="1:13" x14ac:dyDescent="0.35">
      <c r="A442">
        <v>441</v>
      </c>
      <c r="B442">
        <v>40</v>
      </c>
      <c r="C442" t="str">
        <f>IF(Hospital[[#This Row],[Age]]&lt;=12,"Child",
IF(Hospital[[#This Row],[Age]]&lt;=19,"Teen",
IF(Hospital[[#This Row],[Age]]&lt;=35,"Young Adult",
IF(Hospital[[#This Row],[Age]]&lt;=59,"Adult",
"Senior"))))</f>
        <v>Adult</v>
      </c>
      <c r="D442" t="s">
        <v>0</v>
      </c>
      <c r="E442" s="1">
        <v>45185</v>
      </c>
      <c r="F442" s="1" t="str">
        <f t="shared" si="12"/>
        <v>September</v>
      </c>
      <c r="G442" t="s">
        <v>6</v>
      </c>
      <c r="H442" t="s">
        <v>9</v>
      </c>
      <c r="I442" t="s">
        <v>3</v>
      </c>
      <c r="J442" t="str">
        <f t="shared" si="13"/>
        <v>Error: Should be None</v>
      </c>
      <c r="K442">
        <v>6</v>
      </c>
      <c r="L442" s="2">
        <v>428.76</v>
      </c>
      <c r="M442" t="s">
        <v>10</v>
      </c>
    </row>
    <row r="443" spans="1:13" x14ac:dyDescent="0.35">
      <c r="A443">
        <v>442</v>
      </c>
      <c r="B443">
        <v>60</v>
      </c>
      <c r="C443" t="str">
        <f>IF(Hospital[[#This Row],[Age]]&lt;=12,"Child",
IF(Hospital[[#This Row],[Age]]&lt;=19,"Teen",
IF(Hospital[[#This Row],[Age]]&lt;=35,"Young Adult",
IF(Hospital[[#This Row],[Age]]&lt;=59,"Adult",
"Senior"))))</f>
        <v>Senior</v>
      </c>
      <c r="D443" t="s">
        <v>0</v>
      </c>
      <c r="E443" s="1">
        <v>45185</v>
      </c>
      <c r="F443" s="1" t="str">
        <f t="shared" si="12"/>
        <v>September</v>
      </c>
      <c r="G443" t="s">
        <v>6</v>
      </c>
      <c r="H443" t="s">
        <v>17</v>
      </c>
      <c r="I443" t="s">
        <v>3</v>
      </c>
      <c r="J443" t="str">
        <f t="shared" si="13"/>
        <v>Error: Should be None</v>
      </c>
      <c r="K443">
        <v>1</v>
      </c>
      <c r="L443" s="2">
        <v>23.53</v>
      </c>
      <c r="M443" t="s">
        <v>16</v>
      </c>
    </row>
    <row r="444" spans="1:13" x14ac:dyDescent="0.35">
      <c r="A444">
        <v>443</v>
      </c>
      <c r="B444">
        <v>77</v>
      </c>
      <c r="C444" t="str">
        <f>IF(Hospital[[#This Row],[Age]]&lt;=12,"Child",
IF(Hospital[[#This Row],[Age]]&lt;=19,"Teen",
IF(Hospital[[#This Row],[Age]]&lt;=35,"Young Adult",
IF(Hospital[[#This Row],[Age]]&lt;=59,"Adult",
"Senior"))))</f>
        <v>Senior</v>
      </c>
      <c r="D444" t="s">
        <v>0</v>
      </c>
      <c r="E444" s="1">
        <v>45501</v>
      </c>
      <c r="F444" s="1" t="str">
        <f t="shared" si="12"/>
        <v>July</v>
      </c>
      <c r="G444" t="s">
        <v>19</v>
      </c>
      <c r="H444" t="s">
        <v>7</v>
      </c>
      <c r="I444" t="s">
        <v>3</v>
      </c>
      <c r="J444" t="str">
        <f t="shared" si="13"/>
        <v>Error: Should be None</v>
      </c>
      <c r="K444">
        <v>10</v>
      </c>
      <c r="L444" s="2">
        <v>71.89</v>
      </c>
      <c r="M444" t="s">
        <v>4</v>
      </c>
    </row>
    <row r="445" spans="1:13" x14ac:dyDescent="0.35">
      <c r="A445">
        <v>444</v>
      </c>
      <c r="B445">
        <v>82</v>
      </c>
      <c r="C445" t="str">
        <f>IF(Hospital[[#This Row],[Age]]&lt;=12,"Child",
IF(Hospital[[#This Row],[Age]]&lt;=19,"Teen",
IF(Hospital[[#This Row],[Age]]&lt;=35,"Young Adult",
IF(Hospital[[#This Row],[Age]]&lt;=59,"Adult",
"Senior"))))</f>
        <v>Senior</v>
      </c>
      <c r="D445" t="s">
        <v>0</v>
      </c>
      <c r="E445" s="1">
        <v>45271</v>
      </c>
      <c r="F445" s="1" t="str">
        <f t="shared" si="12"/>
        <v>December</v>
      </c>
      <c r="G445" t="s">
        <v>19</v>
      </c>
      <c r="H445" t="s">
        <v>14</v>
      </c>
      <c r="I445" t="s">
        <v>18</v>
      </c>
      <c r="J445" t="str">
        <f t="shared" si="13"/>
        <v>Error: Should be None</v>
      </c>
      <c r="K445">
        <v>10</v>
      </c>
      <c r="L445" s="2">
        <v>361.33</v>
      </c>
      <c r="M445" t="s">
        <v>16</v>
      </c>
    </row>
    <row r="446" spans="1:13" x14ac:dyDescent="0.35">
      <c r="A446">
        <v>445</v>
      </c>
      <c r="B446">
        <v>67</v>
      </c>
      <c r="C446" t="str">
        <f>IF(Hospital[[#This Row],[Age]]&lt;=12,"Child",
IF(Hospital[[#This Row],[Age]]&lt;=19,"Teen",
IF(Hospital[[#This Row],[Age]]&lt;=35,"Young Adult",
IF(Hospital[[#This Row],[Age]]&lt;=59,"Adult",
"Senior"))))</f>
        <v>Senior</v>
      </c>
      <c r="D446" t="s">
        <v>5</v>
      </c>
      <c r="E446" s="1">
        <v>45119</v>
      </c>
      <c r="F446" s="1" t="str">
        <f t="shared" si="12"/>
        <v>July</v>
      </c>
      <c r="G446" t="s">
        <v>11</v>
      </c>
      <c r="H446" t="s">
        <v>17</v>
      </c>
      <c r="I446" t="s">
        <v>3</v>
      </c>
      <c r="J446" t="str">
        <f t="shared" si="13"/>
        <v>Error: Should be None</v>
      </c>
      <c r="K446">
        <v>6</v>
      </c>
      <c r="L446" s="2">
        <v>337.05</v>
      </c>
      <c r="M446" t="s">
        <v>8</v>
      </c>
    </row>
    <row r="447" spans="1:13" x14ac:dyDescent="0.35">
      <c r="A447">
        <v>446</v>
      </c>
      <c r="B447">
        <v>64</v>
      </c>
      <c r="C447" t="str">
        <f>IF(Hospital[[#This Row],[Age]]&lt;=12,"Child",
IF(Hospital[[#This Row],[Age]]&lt;=19,"Teen",
IF(Hospital[[#This Row],[Age]]&lt;=35,"Young Adult",
IF(Hospital[[#This Row],[Age]]&lt;=59,"Adult",
"Senior"))))</f>
        <v>Senior</v>
      </c>
      <c r="D447" t="s">
        <v>0</v>
      </c>
      <c r="E447" s="1">
        <v>44953</v>
      </c>
      <c r="F447" s="1" t="str">
        <f t="shared" si="12"/>
        <v>January</v>
      </c>
      <c r="G447" t="s">
        <v>19</v>
      </c>
      <c r="H447" t="s">
        <v>7</v>
      </c>
      <c r="I447" t="s">
        <v>3</v>
      </c>
      <c r="J447" t="str">
        <f t="shared" si="13"/>
        <v>Error: Should be None</v>
      </c>
      <c r="K447">
        <v>6</v>
      </c>
      <c r="L447" s="2">
        <v>214.21</v>
      </c>
      <c r="M447" t="s">
        <v>4</v>
      </c>
    </row>
    <row r="448" spans="1:13" x14ac:dyDescent="0.35">
      <c r="A448">
        <v>447</v>
      </c>
      <c r="B448">
        <v>74</v>
      </c>
      <c r="C448" t="str">
        <f>IF(Hospital[[#This Row],[Age]]&lt;=12,"Child",
IF(Hospital[[#This Row],[Age]]&lt;=19,"Teen",
IF(Hospital[[#This Row],[Age]]&lt;=35,"Young Adult",
IF(Hospital[[#This Row],[Age]]&lt;=59,"Adult",
"Senior"))))</f>
        <v>Senior</v>
      </c>
      <c r="D448" t="s">
        <v>5</v>
      </c>
      <c r="E448" s="1">
        <v>45524</v>
      </c>
      <c r="F448" s="1" t="str">
        <f t="shared" si="12"/>
        <v>August</v>
      </c>
      <c r="G448" t="s">
        <v>19</v>
      </c>
      <c r="H448" t="s">
        <v>7</v>
      </c>
      <c r="I448" t="s">
        <v>3</v>
      </c>
      <c r="J448" t="str">
        <f t="shared" si="13"/>
        <v>Error: Should be None</v>
      </c>
      <c r="K448">
        <v>3</v>
      </c>
      <c r="L448" s="2">
        <v>349.43</v>
      </c>
      <c r="M448" t="s">
        <v>10</v>
      </c>
    </row>
    <row r="449" spans="1:13" x14ac:dyDescent="0.35">
      <c r="A449">
        <v>448</v>
      </c>
      <c r="B449">
        <v>65</v>
      </c>
      <c r="C449" t="str">
        <f>IF(Hospital[[#This Row],[Age]]&lt;=12,"Child",
IF(Hospital[[#This Row],[Age]]&lt;=19,"Teen",
IF(Hospital[[#This Row],[Age]]&lt;=35,"Young Adult",
IF(Hospital[[#This Row],[Age]]&lt;=59,"Adult",
"Senior"))))</f>
        <v>Senior</v>
      </c>
      <c r="D449" t="s">
        <v>0</v>
      </c>
      <c r="E449" s="1">
        <v>45614</v>
      </c>
      <c r="F449" s="1" t="str">
        <f t="shared" si="12"/>
        <v>November</v>
      </c>
      <c r="G449" t="s">
        <v>1</v>
      </c>
      <c r="H449" t="s">
        <v>14</v>
      </c>
      <c r="I449" t="s">
        <v>3</v>
      </c>
      <c r="J449" t="str">
        <f t="shared" si="13"/>
        <v>Error: Should be None</v>
      </c>
      <c r="K449">
        <v>2</v>
      </c>
      <c r="L449" s="2">
        <v>161.02000000000001</v>
      </c>
      <c r="M449" t="s">
        <v>10</v>
      </c>
    </row>
    <row r="450" spans="1:13" x14ac:dyDescent="0.35">
      <c r="A450">
        <v>449</v>
      </c>
      <c r="B450">
        <v>34</v>
      </c>
      <c r="C45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50" t="s">
        <v>5</v>
      </c>
      <c r="E450" s="1">
        <v>45058</v>
      </c>
      <c r="F450" s="1" t="str">
        <f t="shared" si="12"/>
        <v>May</v>
      </c>
      <c r="G450" t="s">
        <v>19</v>
      </c>
      <c r="H450" t="s">
        <v>7</v>
      </c>
      <c r="I450" t="s">
        <v>3</v>
      </c>
      <c r="J450" t="str">
        <f t="shared" si="13"/>
        <v>Error: Should be None</v>
      </c>
      <c r="K450">
        <v>10</v>
      </c>
      <c r="L450" s="2">
        <v>62.86</v>
      </c>
      <c r="M450" t="s">
        <v>16</v>
      </c>
    </row>
    <row r="451" spans="1:13" x14ac:dyDescent="0.35">
      <c r="A451">
        <v>450</v>
      </c>
      <c r="B451">
        <v>40</v>
      </c>
      <c r="C451" t="str">
        <f>IF(Hospital[[#This Row],[Age]]&lt;=12,"Child",
IF(Hospital[[#This Row],[Age]]&lt;=19,"Teen",
IF(Hospital[[#This Row],[Age]]&lt;=35,"Young Adult",
IF(Hospital[[#This Row],[Age]]&lt;=59,"Adult",
"Senior"))))</f>
        <v>Adult</v>
      </c>
      <c r="D451" t="s">
        <v>0</v>
      </c>
      <c r="E451" s="1">
        <v>45155</v>
      </c>
      <c r="F451" s="1" t="str">
        <f t="shared" ref="F451:F514" si="14">TEXT(E451, "mmmm")</f>
        <v>August</v>
      </c>
      <c r="G451" t="s">
        <v>19</v>
      </c>
      <c r="H451" t="s">
        <v>7</v>
      </c>
      <c r="I451" t="s">
        <v>3</v>
      </c>
      <c r="J451" t="str">
        <f t="shared" ref="J451:J514" si="15">IF(OR(G451="UTI", G451="Pneumonia", G451="Typhoid"),
   IF(H451="None","Error: Should have antibiotics","OK"),
   IF(H451&lt;&gt;"None","Error: Should be None","OK"))</f>
        <v>Error: Should be None</v>
      </c>
      <c r="K451">
        <v>5</v>
      </c>
      <c r="L451" s="2">
        <v>145.07</v>
      </c>
      <c r="M451" t="s">
        <v>16</v>
      </c>
    </row>
    <row r="452" spans="1:13" x14ac:dyDescent="0.35">
      <c r="A452">
        <v>451</v>
      </c>
      <c r="B452">
        <v>61</v>
      </c>
      <c r="C452" t="str">
        <f>IF(Hospital[[#This Row],[Age]]&lt;=12,"Child",
IF(Hospital[[#This Row],[Age]]&lt;=19,"Teen",
IF(Hospital[[#This Row],[Age]]&lt;=35,"Young Adult",
IF(Hospital[[#This Row],[Age]]&lt;=59,"Adult",
"Senior"))))</f>
        <v>Senior</v>
      </c>
      <c r="D452" t="s">
        <v>5</v>
      </c>
      <c r="E452" s="1">
        <v>45401</v>
      </c>
      <c r="F452" s="1" t="str">
        <f t="shared" si="14"/>
        <v>April</v>
      </c>
      <c r="G452" t="s">
        <v>11</v>
      </c>
      <c r="H452" t="s">
        <v>2</v>
      </c>
      <c r="I452" t="s">
        <v>3</v>
      </c>
      <c r="J452" t="str">
        <f t="shared" si="15"/>
        <v>Error: Should be None</v>
      </c>
      <c r="K452">
        <v>7</v>
      </c>
      <c r="L452" s="2">
        <v>446.92</v>
      </c>
      <c r="M452" t="s">
        <v>4</v>
      </c>
    </row>
    <row r="453" spans="1:13" x14ac:dyDescent="0.35">
      <c r="A453">
        <v>452</v>
      </c>
      <c r="B453">
        <v>68</v>
      </c>
      <c r="C453" t="str">
        <f>IF(Hospital[[#This Row],[Age]]&lt;=12,"Child",
IF(Hospital[[#This Row],[Age]]&lt;=19,"Teen",
IF(Hospital[[#This Row],[Age]]&lt;=35,"Young Adult",
IF(Hospital[[#This Row],[Age]]&lt;=59,"Adult",
"Senior"))))</f>
        <v>Senior</v>
      </c>
      <c r="D453" t="s">
        <v>0</v>
      </c>
      <c r="E453" s="1">
        <v>45624</v>
      </c>
      <c r="F453" s="1" t="str">
        <f t="shared" si="14"/>
        <v>November</v>
      </c>
      <c r="G453" t="s">
        <v>6</v>
      </c>
      <c r="H453" t="s">
        <v>12</v>
      </c>
      <c r="I453" t="s">
        <v>15</v>
      </c>
      <c r="J453" t="str">
        <f t="shared" si="15"/>
        <v>Error: Should be None</v>
      </c>
      <c r="K453">
        <v>2</v>
      </c>
      <c r="L453" s="2">
        <v>85.94</v>
      </c>
      <c r="M453" t="s">
        <v>8</v>
      </c>
    </row>
    <row r="454" spans="1:13" x14ac:dyDescent="0.35">
      <c r="A454">
        <v>453</v>
      </c>
      <c r="B454">
        <v>73</v>
      </c>
      <c r="C454" t="str">
        <f>IF(Hospital[[#This Row],[Age]]&lt;=12,"Child",
IF(Hospital[[#This Row],[Age]]&lt;=19,"Teen",
IF(Hospital[[#This Row],[Age]]&lt;=35,"Young Adult",
IF(Hospital[[#This Row],[Age]]&lt;=59,"Adult",
"Senior"))))</f>
        <v>Senior</v>
      </c>
      <c r="D454" t="s">
        <v>0</v>
      </c>
      <c r="E454" s="1">
        <v>45277</v>
      </c>
      <c r="F454" s="1" t="str">
        <f t="shared" si="14"/>
        <v>December</v>
      </c>
      <c r="G454" t="s">
        <v>1</v>
      </c>
      <c r="H454" t="s">
        <v>12</v>
      </c>
      <c r="I454" t="s">
        <v>18</v>
      </c>
      <c r="J454" t="str">
        <f t="shared" si="15"/>
        <v>Error: Should be None</v>
      </c>
      <c r="K454">
        <v>2</v>
      </c>
      <c r="L454" s="2">
        <v>393.89</v>
      </c>
      <c r="M454" t="s">
        <v>10</v>
      </c>
    </row>
    <row r="455" spans="1:13" x14ac:dyDescent="0.35">
      <c r="A455">
        <v>454</v>
      </c>
      <c r="B455">
        <v>23</v>
      </c>
      <c r="C45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55" t="s">
        <v>0</v>
      </c>
      <c r="E455" s="1">
        <v>45267</v>
      </c>
      <c r="F455" s="1" t="str">
        <f t="shared" si="14"/>
        <v>December</v>
      </c>
      <c r="G455" t="s">
        <v>11</v>
      </c>
      <c r="H455" t="s">
        <v>7</v>
      </c>
      <c r="I455" t="s">
        <v>3</v>
      </c>
      <c r="J455" t="str">
        <f t="shared" si="15"/>
        <v>Error: Should be None</v>
      </c>
      <c r="K455">
        <v>0</v>
      </c>
      <c r="L455" s="2">
        <v>236.99</v>
      </c>
      <c r="M455" t="s">
        <v>8</v>
      </c>
    </row>
    <row r="456" spans="1:13" x14ac:dyDescent="0.35">
      <c r="A456">
        <v>455</v>
      </c>
      <c r="B456">
        <v>21</v>
      </c>
      <c r="C45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56" t="s">
        <v>0</v>
      </c>
      <c r="E456" s="1">
        <v>45099</v>
      </c>
      <c r="F456" s="1" t="str">
        <f t="shared" si="14"/>
        <v>June</v>
      </c>
      <c r="G456" t="s">
        <v>11</v>
      </c>
      <c r="H456" t="s">
        <v>9</v>
      </c>
      <c r="I456" t="s">
        <v>3</v>
      </c>
      <c r="J456" t="str">
        <f t="shared" si="15"/>
        <v>Error: Should be None</v>
      </c>
      <c r="K456">
        <v>2</v>
      </c>
      <c r="L456" s="2">
        <v>314.95</v>
      </c>
      <c r="M456" t="s">
        <v>10</v>
      </c>
    </row>
    <row r="457" spans="1:13" x14ac:dyDescent="0.35">
      <c r="A457">
        <v>456</v>
      </c>
      <c r="B457">
        <v>62</v>
      </c>
      <c r="C457" t="str">
        <f>IF(Hospital[[#This Row],[Age]]&lt;=12,"Child",
IF(Hospital[[#This Row],[Age]]&lt;=19,"Teen",
IF(Hospital[[#This Row],[Age]]&lt;=35,"Young Adult",
IF(Hospital[[#This Row],[Age]]&lt;=59,"Adult",
"Senior"))))</f>
        <v>Senior</v>
      </c>
      <c r="D457" t="s">
        <v>0</v>
      </c>
      <c r="E457" s="1">
        <v>45340</v>
      </c>
      <c r="F457" s="1" t="str">
        <f t="shared" si="14"/>
        <v>February</v>
      </c>
      <c r="G457" t="s">
        <v>11</v>
      </c>
      <c r="H457" t="s">
        <v>12</v>
      </c>
      <c r="I457" t="s">
        <v>15</v>
      </c>
      <c r="J457" t="str">
        <f t="shared" si="15"/>
        <v>Error: Should be None</v>
      </c>
      <c r="K457">
        <v>8</v>
      </c>
      <c r="L457" s="2">
        <v>115.72</v>
      </c>
      <c r="M457" t="s">
        <v>16</v>
      </c>
    </row>
    <row r="458" spans="1:13" x14ac:dyDescent="0.35">
      <c r="A458">
        <v>457</v>
      </c>
      <c r="B458">
        <v>68</v>
      </c>
      <c r="C458" t="str">
        <f>IF(Hospital[[#This Row],[Age]]&lt;=12,"Child",
IF(Hospital[[#This Row],[Age]]&lt;=19,"Teen",
IF(Hospital[[#This Row],[Age]]&lt;=35,"Young Adult",
IF(Hospital[[#This Row],[Age]]&lt;=59,"Adult",
"Senior"))))</f>
        <v>Senior</v>
      </c>
      <c r="D458" t="s">
        <v>5</v>
      </c>
      <c r="E458" s="1">
        <v>44941</v>
      </c>
      <c r="F458" s="1" t="str">
        <f t="shared" si="14"/>
        <v>January</v>
      </c>
      <c r="G458" t="s">
        <v>11</v>
      </c>
      <c r="H458" t="s">
        <v>14</v>
      </c>
      <c r="I458" t="s">
        <v>15</v>
      </c>
      <c r="J458" t="str">
        <f t="shared" si="15"/>
        <v>Error: Should be None</v>
      </c>
      <c r="K458">
        <v>10</v>
      </c>
      <c r="L458" s="2">
        <v>372.13</v>
      </c>
      <c r="M458" t="s">
        <v>8</v>
      </c>
    </row>
    <row r="459" spans="1:13" x14ac:dyDescent="0.35">
      <c r="A459">
        <v>458</v>
      </c>
      <c r="B459">
        <v>40</v>
      </c>
      <c r="C459" t="str">
        <f>IF(Hospital[[#This Row],[Age]]&lt;=12,"Child",
IF(Hospital[[#This Row],[Age]]&lt;=19,"Teen",
IF(Hospital[[#This Row],[Age]]&lt;=35,"Young Adult",
IF(Hospital[[#This Row],[Age]]&lt;=59,"Adult",
"Senior"))))</f>
        <v>Adult</v>
      </c>
      <c r="D459" t="s">
        <v>5</v>
      </c>
      <c r="E459" s="1">
        <v>45637</v>
      </c>
      <c r="F459" s="1" t="str">
        <f t="shared" si="14"/>
        <v>December</v>
      </c>
      <c r="G459" t="s">
        <v>11</v>
      </c>
      <c r="H459" t="s">
        <v>14</v>
      </c>
      <c r="I459" t="s">
        <v>20</v>
      </c>
      <c r="J459" t="str">
        <f t="shared" si="15"/>
        <v>Error: Should be None</v>
      </c>
      <c r="K459">
        <v>8</v>
      </c>
      <c r="L459" s="2">
        <v>302.56</v>
      </c>
      <c r="M459" t="s">
        <v>8</v>
      </c>
    </row>
    <row r="460" spans="1:13" x14ac:dyDescent="0.35">
      <c r="A460">
        <v>459</v>
      </c>
      <c r="B460">
        <v>39</v>
      </c>
      <c r="C460" t="str">
        <f>IF(Hospital[[#This Row],[Age]]&lt;=12,"Child",
IF(Hospital[[#This Row],[Age]]&lt;=19,"Teen",
IF(Hospital[[#This Row],[Age]]&lt;=35,"Young Adult",
IF(Hospital[[#This Row],[Age]]&lt;=59,"Adult",
"Senior"))))</f>
        <v>Adult</v>
      </c>
      <c r="D460" t="s">
        <v>0</v>
      </c>
      <c r="E460" s="1">
        <v>44993</v>
      </c>
      <c r="F460" s="1" t="str">
        <f t="shared" si="14"/>
        <v>March</v>
      </c>
      <c r="G460" t="s">
        <v>6</v>
      </c>
      <c r="H460" t="s">
        <v>2</v>
      </c>
      <c r="I460" t="s">
        <v>3</v>
      </c>
      <c r="J460" t="str">
        <f t="shared" si="15"/>
        <v>Error: Should be None</v>
      </c>
      <c r="K460">
        <v>8</v>
      </c>
      <c r="L460" s="2">
        <v>306.26</v>
      </c>
      <c r="M460" t="s">
        <v>16</v>
      </c>
    </row>
    <row r="461" spans="1:13" x14ac:dyDescent="0.35">
      <c r="A461">
        <v>460</v>
      </c>
      <c r="B461">
        <v>18</v>
      </c>
      <c r="C461" t="str">
        <f>IF(Hospital[[#This Row],[Age]]&lt;=12,"Child",
IF(Hospital[[#This Row],[Age]]&lt;=19,"Teen",
IF(Hospital[[#This Row],[Age]]&lt;=35,"Young Adult",
IF(Hospital[[#This Row],[Age]]&lt;=59,"Adult",
"Senior"))))</f>
        <v>Teen</v>
      </c>
      <c r="D461" t="s">
        <v>0</v>
      </c>
      <c r="E461" s="1">
        <v>45371</v>
      </c>
      <c r="F461" s="1" t="str">
        <f t="shared" si="14"/>
        <v>March</v>
      </c>
      <c r="G461" t="s">
        <v>6</v>
      </c>
      <c r="H461" t="s">
        <v>7</v>
      </c>
      <c r="I461" t="s">
        <v>3</v>
      </c>
      <c r="J461" t="str">
        <f t="shared" si="15"/>
        <v>Error: Should be None</v>
      </c>
      <c r="K461">
        <v>5</v>
      </c>
      <c r="L461" s="2">
        <v>380.06</v>
      </c>
      <c r="M461" t="s">
        <v>8</v>
      </c>
    </row>
    <row r="462" spans="1:13" x14ac:dyDescent="0.35">
      <c r="A462">
        <v>461</v>
      </c>
      <c r="B462">
        <v>30</v>
      </c>
      <c r="C46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62" t="s">
        <v>5</v>
      </c>
      <c r="E462" s="1">
        <v>45340</v>
      </c>
      <c r="F462" s="1" t="str">
        <f t="shared" si="14"/>
        <v>February</v>
      </c>
      <c r="G462" t="s">
        <v>1</v>
      </c>
      <c r="H462" t="s">
        <v>2</v>
      </c>
      <c r="I462" t="s">
        <v>3</v>
      </c>
      <c r="J462" t="str">
        <f t="shared" si="15"/>
        <v>Error: Should be None</v>
      </c>
      <c r="K462">
        <v>3</v>
      </c>
      <c r="L462" s="2">
        <v>372.36</v>
      </c>
      <c r="M462" t="s">
        <v>8</v>
      </c>
    </row>
    <row r="463" spans="1:13" x14ac:dyDescent="0.35">
      <c r="A463">
        <v>462</v>
      </c>
      <c r="B463">
        <v>84</v>
      </c>
      <c r="C463" t="str">
        <f>IF(Hospital[[#This Row],[Age]]&lt;=12,"Child",
IF(Hospital[[#This Row],[Age]]&lt;=19,"Teen",
IF(Hospital[[#This Row],[Age]]&lt;=35,"Young Adult",
IF(Hospital[[#This Row],[Age]]&lt;=59,"Adult",
"Senior"))))</f>
        <v>Senior</v>
      </c>
      <c r="D463" t="s">
        <v>5</v>
      </c>
      <c r="E463" s="1">
        <v>45053</v>
      </c>
      <c r="F463" s="1" t="str">
        <f t="shared" si="14"/>
        <v>May</v>
      </c>
      <c r="G463" t="s">
        <v>6</v>
      </c>
      <c r="H463" t="s">
        <v>14</v>
      </c>
      <c r="I463" t="s">
        <v>18</v>
      </c>
      <c r="J463" t="str">
        <f t="shared" si="15"/>
        <v>Error: Should be None</v>
      </c>
      <c r="K463">
        <v>8</v>
      </c>
      <c r="L463" s="2">
        <v>319.10000000000002</v>
      </c>
      <c r="M463" t="s">
        <v>4</v>
      </c>
    </row>
    <row r="464" spans="1:13" x14ac:dyDescent="0.35">
      <c r="A464">
        <v>463</v>
      </c>
      <c r="B464">
        <v>84</v>
      </c>
      <c r="C464" t="str">
        <f>IF(Hospital[[#This Row],[Age]]&lt;=12,"Child",
IF(Hospital[[#This Row],[Age]]&lt;=19,"Teen",
IF(Hospital[[#This Row],[Age]]&lt;=35,"Young Adult",
IF(Hospital[[#This Row],[Age]]&lt;=59,"Adult",
"Senior"))))</f>
        <v>Senior</v>
      </c>
      <c r="D464" t="s">
        <v>5</v>
      </c>
      <c r="E464" s="1">
        <v>45604</v>
      </c>
      <c r="F464" s="1" t="str">
        <f t="shared" si="14"/>
        <v>November</v>
      </c>
      <c r="G464" t="s">
        <v>11</v>
      </c>
      <c r="H464" t="s">
        <v>2</v>
      </c>
      <c r="I464" t="s">
        <v>3</v>
      </c>
      <c r="J464" t="str">
        <f t="shared" si="15"/>
        <v>Error: Should be None</v>
      </c>
      <c r="K464">
        <v>1</v>
      </c>
      <c r="L464" s="2">
        <v>220.05</v>
      </c>
      <c r="M464" t="s">
        <v>10</v>
      </c>
    </row>
    <row r="465" spans="1:13" x14ac:dyDescent="0.35">
      <c r="A465">
        <v>464</v>
      </c>
      <c r="B465">
        <v>33</v>
      </c>
      <c r="C46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65" t="s">
        <v>0</v>
      </c>
      <c r="E465" s="1">
        <v>45053</v>
      </c>
      <c r="F465" s="1" t="str">
        <f t="shared" si="14"/>
        <v>May</v>
      </c>
      <c r="G465" t="s">
        <v>1</v>
      </c>
      <c r="H465" t="s">
        <v>9</v>
      </c>
      <c r="I465" t="s">
        <v>3</v>
      </c>
      <c r="J465" t="str">
        <f t="shared" si="15"/>
        <v>Error: Should be None</v>
      </c>
      <c r="K465">
        <v>3</v>
      </c>
      <c r="L465" s="2">
        <v>353.69</v>
      </c>
      <c r="M465" t="s">
        <v>4</v>
      </c>
    </row>
    <row r="466" spans="1:13" x14ac:dyDescent="0.35">
      <c r="A466">
        <v>465</v>
      </c>
      <c r="B466">
        <v>85</v>
      </c>
      <c r="C466" t="str">
        <f>IF(Hospital[[#This Row],[Age]]&lt;=12,"Child",
IF(Hospital[[#This Row],[Age]]&lt;=19,"Teen",
IF(Hospital[[#This Row],[Age]]&lt;=35,"Young Adult",
IF(Hospital[[#This Row],[Age]]&lt;=59,"Adult",
"Senior"))))</f>
        <v>Senior</v>
      </c>
      <c r="D466" t="s">
        <v>5</v>
      </c>
      <c r="E466" s="1">
        <v>45235</v>
      </c>
      <c r="F466" s="1" t="str">
        <f t="shared" si="14"/>
        <v>November</v>
      </c>
      <c r="G466" t="s">
        <v>19</v>
      </c>
      <c r="H466" t="s">
        <v>12</v>
      </c>
      <c r="I466" t="s">
        <v>3</v>
      </c>
      <c r="J466" t="str">
        <f t="shared" si="15"/>
        <v>Error: Should be None</v>
      </c>
      <c r="K466">
        <v>9</v>
      </c>
      <c r="L466" s="2">
        <v>356.35</v>
      </c>
      <c r="M466" t="s">
        <v>10</v>
      </c>
    </row>
    <row r="467" spans="1:13" x14ac:dyDescent="0.35">
      <c r="A467">
        <v>466</v>
      </c>
      <c r="B467">
        <v>80</v>
      </c>
      <c r="C467" t="str">
        <f>IF(Hospital[[#This Row],[Age]]&lt;=12,"Child",
IF(Hospital[[#This Row],[Age]]&lt;=19,"Teen",
IF(Hospital[[#This Row],[Age]]&lt;=35,"Young Adult",
IF(Hospital[[#This Row],[Age]]&lt;=59,"Adult",
"Senior"))))</f>
        <v>Senior</v>
      </c>
      <c r="D467" t="s">
        <v>5</v>
      </c>
      <c r="E467" s="1">
        <v>45034</v>
      </c>
      <c r="F467" s="1" t="str">
        <f t="shared" si="14"/>
        <v>April</v>
      </c>
      <c r="G467" t="s">
        <v>19</v>
      </c>
      <c r="H467" t="s">
        <v>9</v>
      </c>
      <c r="I467" t="s">
        <v>3</v>
      </c>
      <c r="J467" t="str">
        <f t="shared" si="15"/>
        <v>Error: Should be None</v>
      </c>
      <c r="K467">
        <v>1</v>
      </c>
      <c r="L467" s="2">
        <v>396.68</v>
      </c>
      <c r="M467" t="s">
        <v>10</v>
      </c>
    </row>
    <row r="468" spans="1:13" x14ac:dyDescent="0.35">
      <c r="A468">
        <v>467</v>
      </c>
      <c r="B468">
        <v>26</v>
      </c>
      <c r="C46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68" t="s">
        <v>0</v>
      </c>
      <c r="E468" s="1">
        <v>45130</v>
      </c>
      <c r="F468" s="1" t="str">
        <f t="shared" si="14"/>
        <v>July</v>
      </c>
      <c r="G468" t="s">
        <v>1</v>
      </c>
      <c r="H468" t="s">
        <v>9</v>
      </c>
      <c r="I468" t="s">
        <v>3</v>
      </c>
      <c r="J468" t="str">
        <f t="shared" si="15"/>
        <v>Error: Should be None</v>
      </c>
      <c r="K468">
        <v>5</v>
      </c>
      <c r="L468" s="2">
        <v>357.65</v>
      </c>
      <c r="M468" t="s">
        <v>16</v>
      </c>
    </row>
    <row r="469" spans="1:13" x14ac:dyDescent="0.35">
      <c r="A469">
        <v>468</v>
      </c>
      <c r="B469">
        <v>71</v>
      </c>
      <c r="C469" t="str">
        <f>IF(Hospital[[#This Row],[Age]]&lt;=12,"Child",
IF(Hospital[[#This Row],[Age]]&lt;=19,"Teen",
IF(Hospital[[#This Row],[Age]]&lt;=35,"Young Adult",
IF(Hospital[[#This Row],[Age]]&lt;=59,"Adult",
"Senior"))))</f>
        <v>Senior</v>
      </c>
      <c r="D469" t="s">
        <v>0</v>
      </c>
      <c r="E469" s="1">
        <v>45091</v>
      </c>
      <c r="F469" s="1" t="str">
        <f t="shared" si="14"/>
        <v>June</v>
      </c>
      <c r="G469" t="s">
        <v>1</v>
      </c>
      <c r="H469" t="s">
        <v>2</v>
      </c>
      <c r="I469" t="s">
        <v>3</v>
      </c>
      <c r="J469" t="str">
        <f t="shared" si="15"/>
        <v>Error: Should be None</v>
      </c>
      <c r="K469">
        <v>7</v>
      </c>
      <c r="L469" s="2">
        <v>178.69</v>
      </c>
      <c r="M469" t="s">
        <v>4</v>
      </c>
    </row>
    <row r="470" spans="1:13" x14ac:dyDescent="0.35">
      <c r="A470">
        <v>469</v>
      </c>
      <c r="B470">
        <v>12</v>
      </c>
      <c r="C470" t="str">
        <f>IF(Hospital[[#This Row],[Age]]&lt;=12,"Child",
IF(Hospital[[#This Row],[Age]]&lt;=19,"Teen",
IF(Hospital[[#This Row],[Age]]&lt;=35,"Young Adult",
IF(Hospital[[#This Row],[Age]]&lt;=59,"Adult",
"Senior"))))</f>
        <v>Child</v>
      </c>
      <c r="D470" t="s">
        <v>5</v>
      </c>
      <c r="E470" s="1">
        <v>44940</v>
      </c>
      <c r="F470" s="1" t="str">
        <f t="shared" si="14"/>
        <v>January</v>
      </c>
      <c r="G470" t="s">
        <v>6</v>
      </c>
      <c r="H470" t="s">
        <v>7</v>
      </c>
      <c r="I470" t="s">
        <v>3</v>
      </c>
      <c r="J470" t="str">
        <f t="shared" si="15"/>
        <v>Error: Should be None</v>
      </c>
      <c r="K470">
        <v>2</v>
      </c>
      <c r="L470" s="2">
        <v>475.73</v>
      </c>
      <c r="M470" t="s">
        <v>4</v>
      </c>
    </row>
    <row r="471" spans="1:13" x14ac:dyDescent="0.35">
      <c r="A471">
        <v>470</v>
      </c>
      <c r="B471">
        <v>83</v>
      </c>
      <c r="C471" t="str">
        <f>IF(Hospital[[#This Row],[Age]]&lt;=12,"Child",
IF(Hospital[[#This Row],[Age]]&lt;=19,"Teen",
IF(Hospital[[#This Row],[Age]]&lt;=35,"Young Adult",
IF(Hospital[[#This Row],[Age]]&lt;=59,"Adult",
"Senior"))))</f>
        <v>Senior</v>
      </c>
      <c r="D471" t="s">
        <v>5</v>
      </c>
      <c r="E471" s="1">
        <v>45030</v>
      </c>
      <c r="F471" s="1" t="str">
        <f t="shared" si="14"/>
        <v>April</v>
      </c>
      <c r="G471" t="s">
        <v>6</v>
      </c>
      <c r="H471" t="s">
        <v>14</v>
      </c>
      <c r="I471" t="s">
        <v>18</v>
      </c>
      <c r="J471" t="str">
        <f t="shared" si="15"/>
        <v>Error: Should be None</v>
      </c>
      <c r="K471">
        <v>4</v>
      </c>
      <c r="L471" s="2">
        <v>242.85</v>
      </c>
      <c r="M471" t="s">
        <v>4</v>
      </c>
    </row>
    <row r="472" spans="1:13" x14ac:dyDescent="0.35">
      <c r="A472">
        <v>471</v>
      </c>
      <c r="B472">
        <v>38</v>
      </c>
      <c r="C472" t="str">
        <f>IF(Hospital[[#This Row],[Age]]&lt;=12,"Child",
IF(Hospital[[#This Row],[Age]]&lt;=19,"Teen",
IF(Hospital[[#This Row],[Age]]&lt;=35,"Young Adult",
IF(Hospital[[#This Row],[Age]]&lt;=59,"Adult",
"Senior"))))</f>
        <v>Adult</v>
      </c>
      <c r="D472" t="s">
        <v>0</v>
      </c>
      <c r="E472" s="1">
        <v>45105</v>
      </c>
      <c r="F472" s="1" t="str">
        <f t="shared" si="14"/>
        <v>June</v>
      </c>
      <c r="G472" t="s">
        <v>19</v>
      </c>
      <c r="H472" t="s">
        <v>2</v>
      </c>
      <c r="I472" t="s">
        <v>3</v>
      </c>
      <c r="J472" t="str">
        <f t="shared" si="15"/>
        <v>Error: Should be None</v>
      </c>
      <c r="K472">
        <v>6</v>
      </c>
      <c r="L472" s="2">
        <v>374.5</v>
      </c>
      <c r="M472" t="s">
        <v>4</v>
      </c>
    </row>
    <row r="473" spans="1:13" x14ac:dyDescent="0.35">
      <c r="A473">
        <v>472</v>
      </c>
      <c r="B473">
        <v>18</v>
      </c>
      <c r="C473" t="str">
        <f>IF(Hospital[[#This Row],[Age]]&lt;=12,"Child",
IF(Hospital[[#This Row],[Age]]&lt;=19,"Teen",
IF(Hospital[[#This Row],[Age]]&lt;=35,"Young Adult",
IF(Hospital[[#This Row],[Age]]&lt;=59,"Adult",
"Senior"))))</f>
        <v>Teen</v>
      </c>
      <c r="D473" t="s">
        <v>5</v>
      </c>
      <c r="E473" s="1">
        <v>44973</v>
      </c>
      <c r="F473" s="1" t="str">
        <f t="shared" si="14"/>
        <v>February</v>
      </c>
      <c r="G473" t="s">
        <v>19</v>
      </c>
      <c r="H473" t="s">
        <v>2</v>
      </c>
      <c r="I473" t="s">
        <v>3</v>
      </c>
      <c r="J473" t="str">
        <f t="shared" si="15"/>
        <v>Error: Should be None</v>
      </c>
      <c r="K473">
        <v>5</v>
      </c>
      <c r="L473" s="2">
        <v>449.37</v>
      </c>
      <c r="M473" t="s">
        <v>16</v>
      </c>
    </row>
    <row r="474" spans="1:13" x14ac:dyDescent="0.35">
      <c r="A474">
        <v>473</v>
      </c>
      <c r="B474">
        <v>44</v>
      </c>
      <c r="C474" t="str">
        <f>IF(Hospital[[#This Row],[Age]]&lt;=12,"Child",
IF(Hospital[[#This Row],[Age]]&lt;=19,"Teen",
IF(Hospital[[#This Row],[Age]]&lt;=35,"Young Adult",
IF(Hospital[[#This Row],[Age]]&lt;=59,"Adult",
"Senior"))))</f>
        <v>Adult</v>
      </c>
      <c r="D474" t="s">
        <v>5</v>
      </c>
      <c r="E474" s="1">
        <v>45022</v>
      </c>
      <c r="F474" s="1" t="str">
        <f t="shared" si="14"/>
        <v>April</v>
      </c>
      <c r="G474" t="s">
        <v>11</v>
      </c>
      <c r="H474" t="s">
        <v>14</v>
      </c>
      <c r="I474" t="s">
        <v>20</v>
      </c>
      <c r="J474" t="str">
        <f t="shared" si="15"/>
        <v>Error: Should be None</v>
      </c>
      <c r="K474">
        <v>6</v>
      </c>
      <c r="L474" s="2">
        <v>481.91</v>
      </c>
      <c r="M474" t="s">
        <v>16</v>
      </c>
    </row>
    <row r="475" spans="1:13" x14ac:dyDescent="0.35">
      <c r="A475">
        <v>474</v>
      </c>
      <c r="B475">
        <v>62</v>
      </c>
      <c r="C475" t="str">
        <f>IF(Hospital[[#This Row],[Age]]&lt;=12,"Child",
IF(Hospital[[#This Row],[Age]]&lt;=19,"Teen",
IF(Hospital[[#This Row],[Age]]&lt;=35,"Young Adult",
IF(Hospital[[#This Row],[Age]]&lt;=59,"Adult",
"Senior"))))</f>
        <v>Senior</v>
      </c>
      <c r="D475" t="s">
        <v>0</v>
      </c>
      <c r="E475" s="1">
        <v>45321</v>
      </c>
      <c r="F475" s="1" t="str">
        <f t="shared" si="14"/>
        <v>January</v>
      </c>
      <c r="G475" t="s">
        <v>1</v>
      </c>
      <c r="H475" t="s">
        <v>7</v>
      </c>
      <c r="I475" t="s">
        <v>3</v>
      </c>
      <c r="J475" t="str">
        <f t="shared" si="15"/>
        <v>Error: Should be None</v>
      </c>
      <c r="K475">
        <v>1</v>
      </c>
      <c r="L475" s="2">
        <v>83.61</v>
      </c>
      <c r="M475" t="s">
        <v>4</v>
      </c>
    </row>
    <row r="476" spans="1:13" x14ac:dyDescent="0.35">
      <c r="A476">
        <v>475</v>
      </c>
      <c r="B476">
        <v>54</v>
      </c>
      <c r="C476" t="str">
        <f>IF(Hospital[[#This Row],[Age]]&lt;=12,"Child",
IF(Hospital[[#This Row],[Age]]&lt;=19,"Teen",
IF(Hospital[[#This Row],[Age]]&lt;=35,"Young Adult",
IF(Hospital[[#This Row],[Age]]&lt;=59,"Adult",
"Senior"))))</f>
        <v>Adult</v>
      </c>
      <c r="D476" t="s">
        <v>0</v>
      </c>
      <c r="E476" s="1">
        <v>45090</v>
      </c>
      <c r="F476" s="1" t="str">
        <f t="shared" si="14"/>
        <v>June</v>
      </c>
      <c r="G476" t="s">
        <v>6</v>
      </c>
      <c r="H476" t="s">
        <v>2</v>
      </c>
      <c r="I476" t="s">
        <v>3</v>
      </c>
      <c r="J476" t="str">
        <f t="shared" si="15"/>
        <v>Error: Should be None</v>
      </c>
      <c r="K476">
        <v>2</v>
      </c>
      <c r="L476" s="2">
        <v>313.44</v>
      </c>
      <c r="M476" t="s">
        <v>16</v>
      </c>
    </row>
    <row r="477" spans="1:13" x14ac:dyDescent="0.35">
      <c r="A477">
        <v>476</v>
      </c>
      <c r="B477">
        <v>17</v>
      </c>
      <c r="C477" t="str">
        <f>IF(Hospital[[#This Row],[Age]]&lt;=12,"Child",
IF(Hospital[[#This Row],[Age]]&lt;=19,"Teen",
IF(Hospital[[#This Row],[Age]]&lt;=35,"Young Adult",
IF(Hospital[[#This Row],[Age]]&lt;=59,"Adult",
"Senior"))))</f>
        <v>Teen</v>
      </c>
      <c r="D477" t="s">
        <v>0</v>
      </c>
      <c r="E477" s="1">
        <v>45553</v>
      </c>
      <c r="F477" s="1" t="str">
        <f t="shared" si="14"/>
        <v>September</v>
      </c>
      <c r="G477" t="s">
        <v>6</v>
      </c>
      <c r="H477" t="s">
        <v>2</v>
      </c>
      <c r="I477" t="s">
        <v>3</v>
      </c>
      <c r="J477" t="str">
        <f t="shared" si="15"/>
        <v>Error: Should be None</v>
      </c>
      <c r="K477">
        <v>1</v>
      </c>
      <c r="L477" s="2">
        <v>446.05</v>
      </c>
      <c r="M477" t="s">
        <v>10</v>
      </c>
    </row>
    <row r="478" spans="1:13" x14ac:dyDescent="0.35">
      <c r="A478">
        <v>477</v>
      </c>
      <c r="B478">
        <v>34</v>
      </c>
      <c r="C47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78" t="s">
        <v>0</v>
      </c>
      <c r="E478" s="1">
        <v>44974</v>
      </c>
      <c r="F478" s="1" t="str">
        <f t="shared" si="14"/>
        <v>February</v>
      </c>
      <c r="G478" t="s">
        <v>11</v>
      </c>
      <c r="H478" t="s">
        <v>2</v>
      </c>
      <c r="I478" t="s">
        <v>3</v>
      </c>
      <c r="J478" t="str">
        <f t="shared" si="15"/>
        <v>Error: Should be None</v>
      </c>
      <c r="K478">
        <v>10</v>
      </c>
      <c r="L478" s="2">
        <v>271.91000000000003</v>
      </c>
      <c r="M478" t="s">
        <v>8</v>
      </c>
    </row>
    <row r="479" spans="1:13" x14ac:dyDescent="0.35">
      <c r="A479">
        <v>478</v>
      </c>
      <c r="B479">
        <v>67</v>
      </c>
      <c r="C479" t="str">
        <f>IF(Hospital[[#This Row],[Age]]&lt;=12,"Child",
IF(Hospital[[#This Row],[Age]]&lt;=19,"Teen",
IF(Hospital[[#This Row],[Age]]&lt;=35,"Young Adult",
IF(Hospital[[#This Row],[Age]]&lt;=59,"Adult",
"Senior"))))</f>
        <v>Senior</v>
      </c>
      <c r="D479" t="s">
        <v>5</v>
      </c>
      <c r="E479" s="1">
        <v>45612</v>
      </c>
      <c r="F479" s="1" t="str">
        <f t="shared" si="14"/>
        <v>November</v>
      </c>
      <c r="G479" t="s">
        <v>6</v>
      </c>
      <c r="H479" t="s">
        <v>14</v>
      </c>
      <c r="I479" t="s">
        <v>13</v>
      </c>
      <c r="J479" t="str">
        <f t="shared" si="15"/>
        <v>Error: Should be None</v>
      </c>
      <c r="K479">
        <v>7</v>
      </c>
      <c r="L479" s="2">
        <v>185.96</v>
      </c>
      <c r="M479" t="s">
        <v>10</v>
      </c>
    </row>
    <row r="480" spans="1:13" x14ac:dyDescent="0.35">
      <c r="A480">
        <v>479</v>
      </c>
      <c r="B480">
        <v>79</v>
      </c>
      <c r="C480" t="str">
        <f>IF(Hospital[[#This Row],[Age]]&lt;=12,"Child",
IF(Hospital[[#This Row],[Age]]&lt;=19,"Teen",
IF(Hospital[[#This Row],[Age]]&lt;=35,"Young Adult",
IF(Hospital[[#This Row],[Age]]&lt;=59,"Adult",
"Senior"))))</f>
        <v>Senior</v>
      </c>
      <c r="D480" t="s">
        <v>5</v>
      </c>
      <c r="E480" s="1">
        <v>45079</v>
      </c>
      <c r="F480" s="1" t="str">
        <f t="shared" si="14"/>
        <v>June</v>
      </c>
      <c r="G480" t="s">
        <v>11</v>
      </c>
      <c r="H480" t="s">
        <v>9</v>
      </c>
      <c r="I480" t="s">
        <v>3</v>
      </c>
      <c r="J480" t="str">
        <f t="shared" si="15"/>
        <v>Error: Should be None</v>
      </c>
      <c r="K480">
        <v>10</v>
      </c>
      <c r="L480" s="2">
        <v>468.5</v>
      </c>
      <c r="M480" t="s">
        <v>10</v>
      </c>
    </row>
    <row r="481" spans="1:13" x14ac:dyDescent="0.35">
      <c r="A481">
        <v>480</v>
      </c>
      <c r="B481">
        <v>10</v>
      </c>
      <c r="C481" t="str">
        <f>IF(Hospital[[#This Row],[Age]]&lt;=12,"Child",
IF(Hospital[[#This Row],[Age]]&lt;=19,"Teen",
IF(Hospital[[#This Row],[Age]]&lt;=35,"Young Adult",
IF(Hospital[[#This Row],[Age]]&lt;=59,"Adult",
"Senior"))))</f>
        <v>Child</v>
      </c>
      <c r="D481" t="s">
        <v>0</v>
      </c>
      <c r="E481" s="1">
        <v>45434</v>
      </c>
      <c r="F481" s="1" t="str">
        <f t="shared" si="14"/>
        <v>May</v>
      </c>
      <c r="G481" t="s">
        <v>19</v>
      </c>
      <c r="H481" t="s">
        <v>17</v>
      </c>
      <c r="I481" t="s">
        <v>13</v>
      </c>
      <c r="J481" t="str">
        <f t="shared" si="15"/>
        <v>Error: Should be None</v>
      </c>
      <c r="K481">
        <v>5</v>
      </c>
      <c r="L481" s="2">
        <v>485.67</v>
      </c>
      <c r="M481" t="s">
        <v>4</v>
      </c>
    </row>
    <row r="482" spans="1:13" x14ac:dyDescent="0.35">
      <c r="A482">
        <v>481</v>
      </c>
      <c r="B482">
        <v>71</v>
      </c>
      <c r="C482" t="str">
        <f>IF(Hospital[[#This Row],[Age]]&lt;=12,"Child",
IF(Hospital[[#This Row],[Age]]&lt;=19,"Teen",
IF(Hospital[[#This Row],[Age]]&lt;=35,"Young Adult",
IF(Hospital[[#This Row],[Age]]&lt;=59,"Adult",
"Senior"))))</f>
        <v>Senior</v>
      </c>
      <c r="D482" t="s">
        <v>0</v>
      </c>
      <c r="E482" s="1">
        <v>45446</v>
      </c>
      <c r="F482" s="1" t="str">
        <f t="shared" si="14"/>
        <v>June</v>
      </c>
      <c r="G482" t="s">
        <v>6</v>
      </c>
      <c r="H482" t="s">
        <v>17</v>
      </c>
      <c r="I482" t="s">
        <v>13</v>
      </c>
      <c r="J482" t="str">
        <f t="shared" si="15"/>
        <v>Error: Should be None</v>
      </c>
      <c r="K482">
        <v>1</v>
      </c>
      <c r="L482" s="2">
        <v>240.37</v>
      </c>
      <c r="M482" t="s">
        <v>10</v>
      </c>
    </row>
    <row r="483" spans="1:13" x14ac:dyDescent="0.35">
      <c r="A483">
        <v>482</v>
      </c>
      <c r="B483">
        <v>58</v>
      </c>
      <c r="C483" t="str">
        <f>IF(Hospital[[#This Row],[Age]]&lt;=12,"Child",
IF(Hospital[[#This Row],[Age]]&lt;=19,"Teen",
IF(Hospital[[#This Row],[Age]]&lt;=35,"Young Adult",
IF(Hospital[[#This Row],[Age]]&lt;=59,"Adult",
"Senior"))))</f>
        <v>Adult</v>
      </c>
      <c r="D483" t="s">
        <v>0</v>
      </c>
      <c r="E483" s="1">
        <v>45017</v>
      </c>
      <c r="F483" s="1" t="str">
        <f t="shared" si="14"/>
        <v>April</v>
      </c>
      <c r="G483" t="s">
        <v>11</v>
      </c>
      <c r="H483" t="s">
        <v>12</v>
      </c>
      <c r="I483" t="s">
        <v>20</v>
      </c>
      <c r="J483" t="str">
        <f t="shared" si="15"/>
        <v>Error: Should be None</v>
      </c>
      <c r="K483">
        <v>10</v>
      </c>
      <c r="L483" s="2">
        <v>28.53</v>
      </c>
      <c r="M483" t="s">
        <v>10</v>
      </c>
    </row>
    <row r="484" spans="1:13" x14ac:dyDescent="0.35">
      <c r="A484">
        <v>483</v>
      </c>
      <c r="B484">
        <v>72</v>
      </c>
      <c r="C484" t="str">
        <f>IF(Hospital[[#This Row],[Age]]&lt;=12,"Child",
IF(Hospital[[#This Row],[Age]]&lt;=19,"Teen",
IF(Hospital[[#This Row],[Age]]&lt;=35,"Young Adult",
IF(Hospital[[#This Row],[Age]]&lt;=59,"Adult",
"Senior"))))</f>
        <v>Senior</v>
      </c>
      <c r="D484" t="s">
        <v>5</v>
      </c>
      <c r="E484" s="1">
        <v>45349</v>
      </c>
      <c r="F484" s="1" t="str">
        <f t="shared" si="14"/>
        <v>February</v>
      </c>
      <c r="G484" t="s">
        <v>11</v>
      </c>
      <c r="H484" t="s">
        <v>2</v>
      </c>
      <c r="I484" t="s">
        <v>3</v>
      </c>
      <c r="J484" t="str">
        <f t="shared" si="15"/>
        <v>Error: Should be None</v>
      </c>
      <c r="K484">
        <v>9</v>
      </c>
      <c r="L484" s="2">
        <v>482.32</v>
      </c>
      <c r="M484" t="s">
        <v>16</v>
      </c>
    </row>
    <row r="485" spans="1:13" x14ac:dyDescent="0.35">
      <c r="A485">
        <v>484</v>
      </c>
      <c r="B485">
        <v>27</v>
      </c>
      <c r="C48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485" t="s">
        <v>0</v>
      </c>
      <c r="E485" s="1">
        <v>45447</v>
      </c>
      <c r="F485" s="1" t="str">
        <f t="shared" si="14"/>
        <v>June</v>
      </c>
      <c r="G485" t="s">
        <v>19</v>
      </c>
      <c r="H485" t="s">
        <v>9</v>
      </c>
      <c r="I485" t="s">
        <v>3</v>
      </c>
      <c r="J485" t="str">
        <f t="shared" si="15"/>
        <v>Error: Should be None</v>
      </c>
      <c r="K485">
        <v>5</v>
      </c>
      <c r="L485" s="2">
        <v>416.15</v>
      </c>
      <c r="M485" t="s">
        <v>8</v>
      </c>
    </row>
    <row r="486" spans="1:13" x14ac:dyDescent="0.35">
      <c r="A486">
        <v>485</v>
      </c>
      <c r="B486">
        <v>72</v>
      </c>
      <c r="C486" t="str">
        <f>IF(Hospital[[#This Row],[Age]]&lt;=12,"Child",
IF(Hospital[[#This Row],[Age]]&lt;=19,"Teen",
IF(Hospital[[#This Row],[Age]]&lt;=35,"Young Adult",
IF(Hospital[[#This Row],[Age]]&lt;=59,"Adult",
"Senior"))))</f>
        <v>Senior</v>
      </c>
      <c r="D486" t="s">
        <v>0</v>
      </c>
      <c r="E486" s="1">
        <v>45392</v>
      </c>
      <c r="F486" s="1" t="str">
        <f t="shared" si="14"/>
        <v>April</v>
      </c>
      <c r="G486" t="s">
        <v>19</v>
      </c>
      <c r="H486" t="s">
        <v>14</v>
      </c>
      <c r="I486" t="s">
        <v>20</v>
      </c>
      <c r="J486" t="str">
        <f t="shared" si="15"/>
        <v>Error: Should be None</v>
      </c>
      <c r="K486">
        <v>1</v>
      </c>
      <c r="L486" s="2">
        <v>66.77</v>
      </c>
      <c r="M486" t="s">
        <v>8</v>
      </c>
    </row>
    <row r="487" spans="1:13" x14ac:dyDescent="0.35">
      <c r="A487">
        <v>486</v>
      </c>
      <c r="B487">
        <v>46</v>
      </c>
      <c r="C487" t="str">
        <f>IF(Hospital[[#This Row],[Age]]&lt;=12,"Child",
IF(Hospital[[#This Row],[Age]]&lt;=19,"Teen",
IF(Hospital[[#This Row],[Age]]&lt;=35,"Young Adult",
IF(Hospital[[#This Row],[Age]]&lt;=59,"Adult",
"Senior"))))</f>
        <v>Adult</v>
      </c>
      <c r="D487" t="s">
        <v>0</v>
      </c>
      <c r="E487" s="1">
        <v>44929</v>
      </c>
      <c r="F487" s="1" t="str">
        <f t="shared" si="14"/>
        <v>January</v>
      </c>
      <c r="G487" t="s">
        <v>19</v>
      </c>
      <c r="H487" t="s">
        <v>14</v>
      </c>
      <c r="I487" t="s">
        <v>15</v>
      </c>
      <c r="J487" t="str">
        <f t="shared" si="15"/>
        <v>Error: Should be None</v>
      </c>
      <c r="K487">
        <v>0</v>
      </c>
      <c r="L487" s="2">
        <v>450.5</v>
      </c>
      <c r="M487" t="s">
        <v>10</v>
      </c>
    </row>
    <row r="488" spans="1:13" x14ac:dyDescent="0.35">
      <c r="A488">
        <v>487</v>
      </c>
      <c r="B488">
        <v>53</v>
      </c>
      <c r="C488" t="str">
        <f>IF(Hospital[[#This Row],[Age]]&lt;=12,"Child",
IF(Hospital[[#This Row],[Age]]&lt;=19,"Teen",
IF(Hospital[[#This Row],[Age]]&lt;=35,"Young Adult",
IF(Hospital[[#This Row],[Age]]&lt;=59,"Adult",
"Senior"))))</f>
        <v>Adult</v>
      </c>
      <c r="D488" t="s">
        <v>5</v>
      </c>
      <c r="E488" s="1">
        <v>45070</v>
      </c>
      <c r="F488" s="1" t="str">
        <f t="shared" si="14"/>
        <v>May</v>
      </c>
      <c r="G488" t="s">
        <v>19</v>
      </c>
      <c r="H488" t="s">
        <v>7</v>
      </c>
      <c r="I488" t="s">
        <v>3</v>
      </c>
      <c r="J488" t="str">
        <f t="shared" si="15"/>
        <v>Error: Should be None</v>
      </c>
      <c r="K488">
        <v>9</v>
      </c>
      <c r="L488" s="2">
        <v>114.04</v>
      </c>
      <c r="M488" t="s">
        <v>4</v>
      </c>
    </row>
    <row r="489" spans="1:13" x14ac:dyDescent="0.35">
      <c r="A489">
        <v>488</v>
      </c>
      <c r="B489">
        <v>59</v>
      </c>
      <c r="C489" t="str">
        <f>IF(Hospital[[#This Row],[Age]]&lt;=12,"Child",
IF(Hospital[[#This Row],[Age]]&lt;=19,"Teen",
IF(Hospital[[#This Row],[Age]]&lt;=35,"Young Adult",
IF(Hospital[[#This Row],[Age]]&lt;=59,"Adult",
"Senior"))))</f>
        <v>Adult</v>
      </c>
      <c r="D489" t="s">
        <v>5</v>
      </c>
      <c r="E489" s="1">
        <v>45329</v>
      </c>
      <c r="F489" s="1" t="str">
        <f t="shared" si="14"/>
        <v>February</v>
      </c>
      <c r="G489" t="s">
        <v>19</v>
      </c>
      <c r="H489" t="s">
        <v>17</v>
      </c>
      <c r="I489" t="s">
        <v>15</v>
      </c>
      <c r="J489" t="str">
        <f t="shared" si="15"/>
        <v>Error: Should be None</v>
      </c>
      <c r="K489">
        <v>6</v>
      </c>
      <c r="L489" s="2">
        <v>42.32</v>
      </c>
      <c r="M489" t="s">
        <v>4</v>
      </c>
    </row>
    <row r="490" spans="1:13" x14ac:dyDescent="0.35">
      <c r="A490">
        <v>489</v>
      </c>
      <c r="B490">
        <v>85</v>
      </c>
      <c r="C490" t="str">
        <f>IF(Hospital[[#This Row],[Age]]&lt;=12,"Child",
IF(Hospital[[#This Row],[Age]]&lt;=19,"Teen",
IF(Hospital[[#This Row],[Age]]&lt;=35,"Young Adult",
IF(Hospital[[#This Row],[Age]]&lt;=59,"Adult",
"Senior"))))</f>
        <v>Senior</v>
      </c>
      <c r="D490" t="s">
        <v>5</v>
      </c>
      <c r="E490" s="1">
        <v>45388</v>
      </c>
      <c r="F490" s="1" t="str">
        <f t="shared" si="14"/>
        <v>April</v>
      </c>
      <c r="G490" t="s">
        <v>6</v>
      </c>
      <c r="H490" t="s">
        <v>12</v>
      </c>
      <c r="I490" t="s">
        <v>15</v>
      </c>
      <c r="J490" t="str">
        <f t="shared" si="15"/>
        <v>Error: Should be None</v>
      </c>
      <c r="K490">
        <v>8</v>
      </c>
      <c r="L490" s="2">
        <v>373.38</v>
      </c>
      <c r="M490" t="s">
        <v>10</v>
      </c>
    </row>
    <row r="491" spans="1:13" x14ac:dyDescent="0.35">
      <c r="A491">
        <v>490</v>
      </c>
      <c r="B491">
        <v>66</v>
      </c>
      <c r="C491" t="str">
        <f>IF(Hospital[[#This Row],[Age]]&lt;=12,"Child",
IF(Hospital[[#This Row],[Age]]&lt;=19,"Teen",
IF(Hospital[[#This Row],[Age]]&lt;=35,"Young Adult",
IF(Hospital[[#This Row],[Age]]&lt;=59,"Adult",
"Senior"))))</f>
        <v>Senior</v>
      </c>
      <c r="D491" t="s">
        <v>5</v>
      </c>
      <c r="E491" s="1">
        <v>45526</v>
      </c>
      <c r="F491" s="1" t="str">
        <f t="shared" si="14"/>
        <v>August</v>
      </c>
      <c r="G491" t="s">
        <v>1</v>
      </c>
      <c r="H491" t="s">
        <v>12</v>
      </c>
      <c r="I491" t="s">
        <v>13</v>
      </c>
      <c r="J491" t="str">
        <f t="shared" si="15"/>
        <v>Error: Should be None</v>
      </c>
      <c r="K491">
        <v>1</v>
      </c>
      <c r="L491" s="2">
        <v>205.95</v>
      </c>
      <c r="M491" t="s">
        <v>16</v>
      </c>
    </row>
    <row r="492" spans="1:13" x14ac:dyDescent="0.35">
      <c r="A492">
        <v>491</v>
      </c>
      <c r="B492">
        <v>54</v>
      </c>
      <c r="C492" t="str">
        <f>IF(Hospital[[#This Row],[Age]]&lt;=12,"Child",
IF(Hospital[[#This Row],[Age]]&lt;=19,"Teen",
IF(Hospital[[#This Row],[Age]]&lt;=35,"Young Adult",
IF(Hospital[[#This Row],[Age]]&lt;=59,"Adult",
"Senior"))))</f>
        <v>Adult</v>
      </c>
      <c r="D492" t="s">
        <v>5</v>
      </c>
      <c r="E492" s="1">
        <v>45443</v>
      </c>
      <c r="F492" s="1" t="str">
        <f t="shared" si="14"/>
        <v>May</v>
      </c>
      <c r="G492" t="s">
        <v>19</v>
      </c>
      <c r="H492" t="s">
        <v>12</v>
      </c>
      <c r="I492" t="s">
        <v>20</v>
      </c>
      <c r="J492" t="str">
        <f t="shared" si="15"/>
        <v>Error: Should be None</v>
      </c>
      <c r="K492">
        <v>5</v>
      </c>
      <c r="L492" s="2">
        <v>485.84</v>
      </c>
      <c r="M492" t="s">
        <v>10</v>
      </c>
    </row>
    <row r="493" spans="1:13" x14ac:dyDescent="0.35">
      <c r="A493">
        <v>492</v>
      </c>
      <c r="B493">
        <v>53</v>
      </c>
      <c r="C493" t="str">
        <f>IF(Hospital[[#This Row],[Age]]&lt;=12,"Child",
IF(Hospital[[#This Row],[Age]]&lt;=19,"Teen",
IF(Hospital[[#This Row],[Age]]&lt;=35,"Young Adult",
IF(Hospital[[#This Row],[Age]]&lt;=59,"Adult",
"Senior"))))</f>
        <v>Adult</v>
      </c>
      <c r="D493" t="s">
        <v>0</v>
      </c>
      <c r="E493" s="1">
        <v>45063</v>
      </c>
      <c r="F493" s="1" t="str">
        <f t="shared" si="14"/>
        <v>May</v>
      </c>
      <c r="G493" t="s">
        <v>19</v>
      </c>
      <c r="H493" t="s">
        <v>17</v>
      </c>
      <c r="I493" t="s">
        <v>3</v>
      </c>
      <c r="J493" t="str">
        <f t="shared" si="15"/>
        <v>Error: Should be None</v>
      </c>
      <c r="K493">
        <v>10</v>
      </c>
      <c r="L493" s="2">
        <v>124.32</v>
      </c>
      <c r="M493" t="s">
        <v>8</v>
      </c>
    </row>
    <row r="494" spans="1:13" x14ac:dyDescent="0.35">
      <c r="A494">
        <v>493</v>
      </c>
      <c r="B494">
        <v>38</v>
      </c>
      <c r="C494" t="str">
        <f>IF(Hospital[[#This Row],[Age]]&lt;=12,"Child",
IF(Hospital[[#This Row],[Age]]&lt;=19,"Teen",
IF(Hospital[[#This Row],[Age]]&lt;=35,"Young Adult",
IF(Hospital[[#This Row],[Age]]&lt;=59,"Adult",
"Senior"))))</f>
        <v>Adult</v>
      </c>
      <c r="D494" t="s">
        <v>0</v>
      </c>
      <c r="E494" s="1">
        <v>45566</v>
      </c>
      <c r="F494" s="1" t="str">
        <f t="shared" si="14"/>
        <v>October</v>
      </c>
      <c r="G494" t="s">
        <v>1</v>
      </c>
      <c r="H494" t="s">
        <v>7</v>
      </c>
      <c r="I494" t="s">
        <v>3</v>
      </c>
      <c r="J494" t="str">
        <f t="shared" si="15"/>
        <v>Error: Should be None</v>
      </c>
      <c r="K494">
        <v>10</v>
      </c>
      <c r="L494" s="2">
        <v>488.09</v>
      </c>
      <c r="M494" t="s">
        <v>8</v>
      </c>
    </row>
    <row r="495" spans="1:13" x14ac:dyDescent="0.35">
      <c r="A495">
        <v>494</v>
      </c>
      <c r="B495">
        <v>82</v>
      </c>
      <c r="C495" t="str">
        <f>IF(Hospital[[#This Row],[Age]]&lt;=12,"Child",
IF(Hospital[[#This Row],[Age]]&lt;=19,"Teen",
IF(Hospital[[#This Row],[Age]]&lt;=35,"Young Adult",
IF(Hospital[[#This Row],[Age]]&lt;=59,"Adult",
"Senior"))))</f>
        <v>Senior</v>
      </c>
      <c r="D495" t="s">
        <v>0</v>
      </c>
      <c r="E495" s="1">
        <v>45442</v>
      </c>
      <c r="F495" s="1" t="str">
        <f t="shared" si="14"/>
        <v>May</v>
      </c>
      <c r="G495" t="s">
        <v>11</v>
      </c>
      <c r="H495" t="s">
        <v>9</v>
      </c>
      <c r="I495" t="s">
        <v>3</v>
      </c>
      <c r="J495" t="str">
        <f t="shared" si="15"/>
        <v>Error: Should be None</v>
      </c>
      <c r="K495">
        <v>5</v>
      </c>
      <c r="L495" s="2">
        <v>289.89</v>
      </c>
      <c r="M495" t="s">
        <v>10</v>
      </c>
    </row>
    <row r="496" spans="1:13" x14ac:dyDescent="0.35">
      <c r="A496">
        <v>495</v>
      </c>
      <c r="B496">
        <v>69</v>
      </c>
      <c r="C496" t="str">
        <f>IF(Hospital[[#This Row],[Age]]&lt;=12,"Child",
IF(Hospital[[#This Row],[Age]]&lt;=19,"Teen",
IF(Hospital[[#This Row],[Age]]&lt;=35,"Young Adult",
IF(Hospital[[#This Row],[Age]]&lt;=59,"Adult",
"Senior"))))</f>
        <v>Senior</v>
      </c>
      <c r="D496" t="s">
        <v>0</v>
      </c>
      <c r="E496" s="1">
        <v>45617</v>
      </c>
      <c r="F496" s="1" t="str">
        <f t="shared" si="14"/>
        <v>November</v>
      </c>
      <c r="G496" t="s">
        <v>6</v>
      </c>
      <c r="H496" t="s">
        <v>7</v>
      </c>
      <c r="I496" t="s">
        <v>3</v>
      </c>
      <c r="J496" t="str">
        <f t="shared" si="15"/>
        <v>Error: Should be None</v>
      </c>
      <c r="K496">
        <v>0</v>
      </c>
      <c r="L496" s="2">
        <v>270.91000000000003</v>
      </c>
      <c r="M496" t="s">
        <v>4</v>
      </c>
    </row>
    <row r="497" spans="1:13" x14ac:dyDescent="0.35">
      <c r="A497">
        <v>496</v>
      </c>
      <c r="B497">
        <v>7</v>
      </c>
      <c r="C497" t="str">
        <f>IF(Hospital[[#This Row],[Age]]&lt;=12,"Child",
IF(Hospital[[#This Row],[Age]]&lt;=19,"Teen",
IF(Hospital[[#This Row],[Age]]&lt;=35,"Young Adult",
IF(Hospital[[#This Row],[Age]]&lt;=59,"Adult",
"Senior"))))</f>
        <v>Child</v>
      </c>
      <c r="D497" t="s">
        <v>5</v>
      </c>
      <c r="E497" s="1">
        <v>45317</v>
      </c>
      <c r="F497" s="1" t="str">
        <f t="shared" si="14"/>
        <v>January</v>
      </c>
      <c r="G497" t="s">
        <v>1</v>
      </c>
      <c r="H497" t="s">
        <v>17</v>
      </c>
      <c r="I497" t="s">
        <v>18</v>
      </c>
      <c r="J497" t="str">
        <f t="shared" si="15"/>
        <v>Error: Should be None</v>
      </c>
      <c r="K497">
        <v>2</v>
      </c>
      <c r="L497" s="2">
        <v>492.1</v>
      </c>
      <c r="M497" t="s">
        <v>16</v>
      </c>
    </row>
    <row r="498" spans="1:13" x14ac:dyDescent="0.35">
      <c r="A498">
        <v>497</v>
      </c>
      <c r="B498">
        <v>38</v>
      </c>
      <c r="C498" t="str">
        <f>IF(Hospital[[#This Row],[Age]]&lt;=12,"Child",
IF(Hospital[[#This Row],[Age]]&lt;=19,"Teen",
IF(Hospital[[#This Row],[Age]]&lt;=35,"Young Adult",
IF(Hospital[[#This Row],[Age]]&lt;=59,"Adult",
"Senior"))))</f>
        <v>Adult</v>
      </c>
      <c r="D498" t="s">
        <v>5</v>
      </c>
      <c r="E498" s="1">
        <v>45076</v>
      </c>
      <c r="F498" s="1" t="str">
        <f t="shared" si="14"/>
        <v>May</v>
      </c>
      <c r="G498" t="s">
        <v>11</v>
      </c>
      <c r="H498" t="s">
        <v>2</v>
      </c>
      <c r="I498" t="s">
        <v>3</v>
      </c>
      <c r="J498" t="str">
        <f t="shared" si="15"/>
        <v>Error: Should be None</v>
      </c>
      <c r="K498">
        <v>5</v>
      </c>
      <c r="L498" s="2">
        <v>410.73</v>
      </c>
      <c r="M498" t="s">
        <v>4</v>
      </c>
    </row>
    <row r="499" spans="1:13" x14ac:dyDescent="0.35">
      <c r="A499">
        <v>498</v>
      </c>
      <c r="B499">
        <v>72</v>
      </c>
      <c r="C499" t="str">
        <f>IF(Hospital[[#This Row],[Age]]&lt;=12,"Child",
IF(Hospital[[#This Row],[Age]]&lt;=19,"Teen",
IF(Hospital[[#This Row],[Age]]&lt;=35,"Young Adult",
IF(Hospital[[#This Row],[Age]]&lt;=59,"Adult",
"Senior"))))</f>
        <v>Senior</v>
      </c>
      <c r="D499" t="s">
        <v>5</v>
      </c>
      <c r="E499" s="1">
        <v>45557</v>
      </c>
      <c r="F499" s="1" t="str">
        <f t="shared" si="14"/>
        <v>September</v>
      </c>
      <c r="G499" t="s">
        <v>6</v>
      </c>
      <c r="H499" t="s">
        <v>7</v>
      </c>
      <c r="I499" t="s">
        <v>3</v>
      </c>
      <c r="J499" t="str">
        <f t="shared" si="15"/>
        <v>Error: Should be None</v>
      </c>
      <c r="K499">
        <v>3</v>
      </c>
      <c r="L499" s="2">
        <v>265.24</v>
      </c>
      <c r="M499" t="s">
        <v>16</v>
      </c>
    </row>
    <row r="500" spans="1:13" x14ac:dyDescent="0.35">
      <c r="A500">
        <v>499</v>
      </c>
      <c r="B500">
        <v>7</v>
      </c>
      <c r="C500" t="str">
        <f>IF(Hospital[[#This Row],[Age]]&lt;=12,"Child",
IF(Hospital[[#This Row],[Age]]&lt;=19,"Teen",
IF(Hospital[[#This Row],[Age]]&lt;=35,"Young Adult",
IF(Hospital[[#This Row],[Age]]&lt;=59,"Adult",
"Senior"))))</f>
        <v>Child</v>
      </c>
      <c r="D500" t="s">
        <v>0</v>
      </c>
      <c r="E500" s="1">
        <v>45636</v>
      </c>
      <c r="F500" s="1" t="str">
        <f t="shared" si="14"/>
        <v>December</v>
      </c>
      <c r="G500" t="s">
        <v>6</v>
      </c>
      <c r="H500" t="s">
        <v>7</v>
      </c>
      <c r="I500" t="s">
        <v>3</v>
      </c>
      <c r="J500" t="str">
        <f t="shared" si="15"/>
        <v>Error: Should be None</v>
      </c>
      <c r="K500">
        <v>6</v>
      </c>
      <c r="L500" s="2">
        <v>479.22</v>
      </c>
      <c r="M500" t="s">
        <v>16</v>
      </c>
    </row>
    <row r="501" spans="1:13" x14ac:dyDescent="0.35">
      <c r="A501">
        <v>500</v>
      </c>
      <c r="B501">
        <v>2</v>
      </c>
      <c r="C501" t="str">
        <f>IF(Hospital[[#This Row],[Age]]&lt;=12,"Child",
IF(Hospital[[#This Row],[Age]]&lt;=19,"Teen",
IF(Hospital[[#This Row],[Age]]&lt;=35,"Young Adult",
IF(Hospital[[#This Row],[Age]]&lt;=59,"Adult",
"Senior"))))</f>
        <v>Child</v>
      </c>
      <c r="D501" t="s">
        <v>0</v>
      </c>
      <c r="E501" s="1">
        <v>45492</v>
      </c>
      <c r="F501" s="1" t="str">
        <f t="shared" si="14"/>
        <v>July</v>
      </c>
      <c r="G501" t="s">
        <v>1</v>
      </c>
      <c r="H501" t="s">
        <v>2</v>
      </c>
      <c r="I501" t="s">
        <v>3</v>
      </c>
      <c r="J501" t="str">
        <f t="shared" si="15"/>
        <v>Error: Should be None</v>
      </c>
      <c r="K501">
        <v>9</v>
      </c>
      <c r="L501" s="2">
        <v>437.05</v>
      </c>
      <c r="M501" t="s">
        <v>10</v>
      </c>
    </row>
    <row r="502" spans="1:13" x14ac:dyDescent="0.35">
      <c r="A502">
        <v>501</v>
      </c>
      <c r="B502">
        <v>83</v>
      </c>
      <c r="C502" t="str">
        <f>IF(Hospital[[#This Row],[Age]]&lt;=12,"Child",
IF(Hospital[[#This Row],[Age]]&lt;=19,"Teen",
IF(Hospital[[#This Row],[Age]]&lt;=35,"Young Adult",
IF(Hospital[[#This Row],[Age]]&lt;=59,"Adult",
"Senior"))))</f>
        <v>Senior</v>
      </c>
      <c r="D502" t="s">
        <v>0</v>
      </c>
      <c r="E502" s="1">
        <v>45157</v>
      </c>
      <c r="F502" s="1" t="str">
        <f t="shared" si="14"/>
        <v>August</v>
      </c>
      <c r="G502" t="s">
        <v>1</v>
      </c>
      <c r="H502" t="s">
        <v>7</v>
      </c>
      <c r="I502" t="s">
        <v>3</v>
      </c>
      <c r="J502" t="str">
        <f t="shared" si="15"/>
        <v>Error: Should be None</v>
      </c>
      <c r="K502">
        <v>3</v>
      </c>
      <c r="L502" s="2">
        <v>161.21</v>
      </c>
      <c r="M502" t="s">
        <v>8</v>
      </c>
    </row>
    <row r="503" spans="1:13" x14ac:dyDescent="0.35">
      <c r="A503">
        <v>502</v>
      </c>
      <c r="B503">
        <v>24</v>
      </c>
      <c r="C50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03" t="s">
        <v>5</v>
      </c>
      <c r="E503" s="1">
        <v>45626</v>
      </c>
      <c r="F503" s="1" t="str">
        <f t="shared" si="14"/>
        <v>November</v>
      </c>
      <c r="G503" t="s">
        <v>11</v>
      </c>
      <c r="H503" t="s">
        <v>2</v>
      </c>
      <c r="I503" t="s">
        <v>3</v>
      </c>
      <c r="J503" t="str">
        <f t="shared" si="15"/>
        <v>Error: Should be None</v>
      </c>
      <c r="K503">
        <v>6</v>
      </c>
      <c r="L503" s="2">
        <v>39.5</v>
      </c>
      <c r="M503" t="s">
        <v>16</v>
      </c>
    </row>
    <row r="504" spans="1:13" x14ac:dyDescent="0.35">
      <c r="A504">
        <v>503</v>
      </c>
      <c r="B504">
        <v>17</v>
      </c>
      <c r="C504" t="str">
        <f>IF(Hospital[[#This Row],[Age]]&lt;=12,"Child",
IF(Hospital[[#This Row],[Age]]&lt;=19,"Teen",
IF(Hospital[[#This Row],[Age]]&lt;=35,"Young Adult",
IF(Hospital[[#This Row],[Age]]&lt;=59,"Adult",
"Senior"))))</f>
        <v>Teen</v>
      </c>
      <c r="D504" t="s">
        <v>5</v>
      </c>
      <c r="E504" s="1">
        <v>45496</v>
      </c>
      <c r="F504" s="1" t="str">
        <f t="shared" si="14"/>
        <v>July</v>
      </c>
      <c r="G504" t="s">
        <v>19</v>
      </c>
      <c r="H504" t="s">
        <v>14</v>
      </c>
      <c r="I504" t="s">
        <v>15</v>
      </c>
      <c r="J504" t="str">
        <f t="shared" si="15"/>
        <v>Error: Should be None</v>
      </c>
      <c r="K504">
        <v>5</v>
      </c>
      <c r="L504" s="2">
        <v>243.84</v>
      </c>
      <c r="M504" t="s">
        <v>8</v>
      </c>
    </row>
    <row r="505" spans="1:13" x14ac:dyDescent="0.35">
      <c r="A505">
        <v>504</v>
      </c>
      <c r="B505">
        <v>42</v>
      </c>
      <c r="C505" t="str">
        <f>IF(Hospital[[#This Row],[Age]]&lt;=12,"Child",
IF(Hospital[[#This Row],[Age]]&lt;=19,"Teen",
IF(Hospital[[#This Row],[Age]]&lt;=35,"Young Adult",
IF(Hospital[[#This Row],[Age]]&lt;=59,"Adult",
"Senior"))))</f>
        <v>Adult</v>
      </c>
      <c r="D505" t="s">
        <v>5</v>
      </c>
      <c r="E505" s="1">
        <v>44967</v>
      </c>
      <c r="F505" s="1" t="str">
        <f t="shared" si="14"/>
        <v>February</v>
      </c>
      <c r="G505" t="s">
        <v>19</v>
      </c>
      <c r="H505" t="s">
        <v>17</v>
      </c>
      <c r="I505" t="s">
        <v>20</v>
      </c>
      <c r="J505" t="str">
        <f t="shared" si="15"/>
        <v>Error: Should be None</v>
      </c>
      <c r="K505">
        <v>9</v>
      </c>
      <c r="L505" s="2">
        <v>284.08</v>
      </c>
      <c r="M505" t="s">
        <v>4</v>
      </c>
    </row>
    <row r="506" spans="1:13" x14ac:dyDescent="0.35">
      <c r="A506">
        <v>505</v>
      </c>
      <c r="B506">
        <v>68</v>
      </c>
      <c r="C506" t="str">
        <f>IF(Hospital[[#This Row],[Age]]&lt;=12,"Child",
IF(Hospital[[#This Row],[Age]]&lt;=19,"Teen",
IF(Hospital[[#This Row],[Age]]&lt;=35,"Young Adult",
IF(Hospital[[#This Row],[Age]]&lt;=59,"Adult",
"Senior"))))</f>
        <v>Senior</v>
      </c>
      <c r="D506" t="s">
        <v>5</v>
      </c>
      <c r="E506" s="1">
        <v>45651</v>
      </c>
      <c r="F506" s="1" t="str">
        <f t="shared" si="14"/>
        <v>December</v>
      </c>
      <c r="G506" t="s">
        <v>1</v>
      </c>
      <c r="H506" t="s">
        <v>14</v>
      </c>
      <c r="I506" t="s">
        <v>3</v>
      </c>
      <c r="J506" t="str">
        <f t="shared" si="15"/>
        <v>Error: Should be None</v>
      </c>
      <c r="K506">
        <v>1</v>
      </c>
      <c r="L506" s="2">
        <v>397.4</v>
      </c>
      <c r="M506" t="s">
        <v>8</v>
      </c>
    </row>
    <row r="507" spans="1:13" x14ac:dyDescent="0.35">
      <c r="A507">
        <v>506</v>
      </c>
      <c r="B507">
        <v>69</v>
      </c>
      <c r="C507" t="str">
        <f>IF(Hospital[[#This Row],[Age]]&lt;=12,"Child",
IF(Hospital[[#This Row],[Age]]&lt;=19,"Teen",
IF(Hospital[[#This Row],[Age]]&lt;=35,"Young Adult",
IF(Hospital[[#This Row],[Age]]&lt;=59,"Adult",
"Senior"))))</f>
        <v>Senior</v>
      </c>
      <c r="D507" t="s">
        <v>0</v>
      </c>
      <c r="E507" s="1">
        <v>45352</v>
      </c>
      <c r="F507" s="1" t="str">
        <f t="shared" si="14"/>
        <v>March</v>
      </c>
      <c r="G507" t="s">
        <v>11</v>
      </c>
      <c r="H507" t="s">
        <v>9</v>
      </c>
      <c r="I507" t="s">
        <v>3</v>
      </c>
      <c r="J507" t="str">
        <f t="shared" si="15"/>
        <v>Error: Should be None</v>
      </c>
      <c r="K507">
        <v>5</v>
      </c>
      <c r="L507" s="2">
        <v>126.18</v>
      </c>
      <c r="M507" t="s">
        <v>8</v>
      </c>
    </row>
    <row r="508" spans="1:13" x14ac:dyDescent="0.35">
      <c r="A508">
        <v>507</v>
      </c>
      <c r="B508">
        <v>43</v>
      </c>
      <c r="C508" t="str">
        <f>IF(Hospital[[#This Row],[Age]]&lt;=12,"Child",
IF(Hospital[[#This Row],[Age]]&lt;=19,"Teen",
IF(Hospital[[#This Row],[Age]]&lt;=35,"Young Adult",
IF(Hospital[[#This Row],[Age]]&lt;=59,"Adult",
"Senior"))))</f>
        <v>Adult</v>
      </c>
      <c r="D508" t="s">
        <v>0</v>
      </c>
      <c r="E508" s="1">
        <v>45606</v>
      </c>
      <c r="F508" s="1" t="str">
        <f t="shared" si="14"/>
        <v>November</v>
      </c>
      <c r="G508" t="s">
        <v>19</v>
      </c>
      <c r="H508" t="s">
        <v>14</v>
      </c>
      <c r="I508" t="s">
        <v>13</v>
      </c>
      <c r="J508" t="str">
        <f t="shared" si="15"/>
        <v>Error: Should be None</v>
      </c>
      <c r="K508">
        <v>9</v>
      </c>
      <c r="L508" s="2">
        <v>274.64</v>
      </c>
      <c r="M508" t="s">
        <v>4</v>
      </c>
    </row>
    <row r="509" spans="1:13" x14ac:dyDescent="0.35">
      <c r="A509">
        <v>508</v>
      </c>
      <c r="B509">
        <v>45</v>
      </c>
      <c r="C509" t="str">
        <f>IF(Hospital[[#This Row],[Age]]&lt;=12,"Child",
IF(Hospital[[#This Row],[Age]]&lt;=19,"Teen",
IF(Hospital[[#This Row],[Age]]&lt;=35,"Young Adult",
IF(Hospital[[#This Row],[Age]]&lt;=59,"Adult",
"Senior"))))</f>
        <v>Adult</v>
      </c>
      <c r="D509" t="s">
        <v>0</v>
      </c>
      <c r="E509" s="1">
        <v>45044</v>
      </c>
      <c r="F509" s="1" t="str">
        <f t="shared" si="14"/>
        <v>April</v>
      </c>
      <c r="G509" t="s">
        <v>1</v>
      </c>
      <c r="H509" t="s">
        <v>7</v>
      </c>
      <c r="I509" t="s">
        <v>3</v>
      </c>
      <c r="J509" t="str">
        <f t="shared" si="15"/>
        <v>Error: Should be None</v>
      </c>
      <c r="K509">
        <v>10</v>
      </c>
      <c r="L509" s="2">
        <v>314.58</v>
      </c>
      <c r="M509" t="s">
        <v>8</v>
      </c>
    </row>
    <row r="510" spans="1:13" x14ac:dyDescent="0.35">
      <c r="A510">
        <v>509</v>
      </c>
      <c r="B510">
        <v>42</v>
      </c>
      <c r="C510" t="str">
        <f>IF(Hospital[[#This Row],[Age]]&lt;=12,"Child",
IF(Hospital[[#This Row],[Age]]&lt;=19,"Teen",
IF(Hospital[[#This Row],[Age]]&lt;=35,"Young Adult",
IF(Hospital[[#This Row],[Age]]&lt;=59,"Adult",
"Senior"))))</f>
        <v>Adult</v>
      </c>
      <c r="D510" t="s">
        <v>0</v>
      </c>
      <c r="E510" s="1">
        <v>44967</v>
      </c>
      <c r="F510" s="1" t="str">
        <f t="shared" si="14"/>
        <v>February</v>
      </c>
      <c r="G510" t="s">
        <v>11</v>
      </c>
      <c r="H510" t="s">
        <v>7</v>
      </c>
      <c r="I510" t="s">
        <v>3</v>
      </c>
      <c r="J510" t="str">
        <f t="shared" si="15"/>
        <v>Error: Should be None</v>
      </c>
      <c r="K510">
        <v>6</v>
      </c>
      <c r="L510" s="2">
        <v>143.16</v>
      </c>
      <c r="M510" t="s">
        <v>16</v>
      </c>
    </row>
    <row r="511" spans="1:13" x14ac:dyDescent="0.35">
      <c r="A511">
        <v>510</v>
      </c>
      <c r="B511">
        <v>48</v>
      </c>
      <c r="C511" t="str">
        <f>IF(Hospital[[#This Row],[Age]]&lt;=12,"Child",
IF(Hospital[[#This Row],[Age]]&lt;=19,"Teen",
IF(Hospital[[#This Row],[Age]]&lt;=35,"Young Adult",
IF(Hospital[[#This Row],[Age]]&lt;=59,"Adult",
"Senior"))))</f>
        <v>Adult</v>
      </c>
      <c r="D511" t="s">
        <v>0</v>
      </c>
      <c r="E511" s="1">
        <v>44952</v>
      </c>
      <c r="F511" s="1" t="str">
        <f t="shared" si="14"/>
        <v>January</v>
      </c>
      <c r="G511" t="s">
        <v>6</v>
      </c>
      <c r="H511" t="s">
        <v>9</v>
      </c>
      <c r="I511" t="s">
        <v>3</v>
      </c>
      <c r="J511" t="str">
        <f t="shared" si="15"/>
        <v>Error: Should be None</v>
      </c>
      <c r="K511">
        <v>0</v>
      </c>
      <c r="L511" s="2">
        <v>162.29</v>
      </c>
      <c r="M511" t="s">
        <v>8</v>
      </c>
    </row>
    <row r="512" spans="1:13" x14ac:dyDescent="0.35">
      <c r="A512">
        <v>511</v>
      </c>
      <c r="B512">
        <v>11</v>
      </c>
      <c r="C512" t="str">
        <f>IF(Hospital[[#This Row],[Age]]&lt;=12,"Child",
IF(Hospital[[#This Row],[Age]]&lt;=19,"Teen",
IF(Hospital[[#This Row],[Age]]&lt;=35,"Young Adult",
IF(Hospital[[#This Row],[Age]]&lt;=59,"Adult",
"Senior"))))</f>
        <v>Child</v>
      </c>
      <c r="D512" t="s">
        <v>5</v>
      </c>
      <c r="E512" s="1">
        <v>45255</v>
      </c>
      <c r="F512" s="1" t="str">
        <f t="shared" si="14"/>
        <v>November</v>
      </c>
      <c r="G512" t="s">
        <v>1</v>
      </c>
      <c r="H512" t="s">
        <v>9</v>
      </c>
      <c r="I512" t="s">
        <v>3</v>
      </c>
      <c r="J512" t="str">
        <f t="shared" si="15"/>
        <v>Error: Should be None</v>
      </c>
      <c r="K512">
        <v>8</v>
      </c>
      <c r="L512" s="2">
        <v>275.94</v>
      </c>
      <c r="M512" t="s">
        <v>4</v>
      </c>
    </row>
    <row r="513" spans="1:13" x14ac:dyDescent="0.35">
      <c r="A513">
        <v>512</v>
      </c>
      <c r="B513">
        <v>81</v>
      </c>
      <c r="C513" t="str">
        <f>IF(Hospital[[#This Row],[Age]]&lt;=12,"Child",
IF(Hospital[[#This Row],[Age]]&lt;=19,"Teen",
IF(Hospital[[#This Row],[Age]]&lt;=35,"Young Adult",
IF(Hospital[[#This Row],[Age]]&lt;=59,"Adult",
"Senior"))))</f>
        <v>Senior</v>
      </c>
      <c r="D513" t="s">
        <v>5</v>
      </c>
      <c r="E513" s="1">
        <v>45142</v>
      </c>
      <c r="F513" s="1" t="str">
        <f t="shared" si="14"/>
        <v>August</v>
      </c>
      <c r="G513" t="s">
        <v>6</v>
      </c>
      <c r="H513" t="s">
        <v>7</v>
      </c>
      <c r="I513" t="s">
        <v>3</v>
      </c>
      <c r="J513" t="str">
        <f t="shared" si="15"/>
        <v>Error: Should be None</v>
      </c>
      <c r="K513">
        <v>1</v>
      </c>
      <c r="L513" s="2">
        <v>118.68</v>
      </c>
      <c r="M513" t="s">
        <v>10</v>
      </c>
    </row>
    <row r="514" spans="1:13" x14ac:dyDescent="0.35">
      <c r="A514">
        <v>513</v>
      </c>
      <c r="B514">
        <v>20</v>
      </c>
      <c r="C51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14" t="s">
        <v>5</v>
      </c>
      <c r="E514" s="1">
        <v>45589</v>
      </c>
      <c r="F514" s="1" t="str">
        <f t="shared" si="14"/>
        <v>October</v>
      </c>
      <c r="G514" t="s">
        <v>6</v>
      </c>
      <c r="H514" t="s">
        <v>2</v>
      </c>
      <c r="I514" t="s">
        <v>3</v>
      </c>
      <c r="J514" t="str">
        <f t="shared" si="15"/>
        <v>Error: Should be None</v>
      </c>
      <c r="K514">
        <v>5</v>
      </c>
      <c r="L514" s="2">
        <v>38.19</v>
      </c>
      <c r="M514" t="s">
        <v>4</v>
      </c>
    </row>
    <row r="515" spans="1:13" x14ac:dyDescent="0.35">
      <c r="A515">
        <v>514</v>
      </c>
      <c r="B515">
        <v>33</v>
      </c>
      <c r="C51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15" t="s">
        <v>5</v>
      </c>
      <c r="E515" s="1">
        <v>44982</v>
      </c>
      <c r="F515" s="1" t="str">
        <f t="shared" ref="F515:F578" si="16">TEXT(E515, "mmmm")</f>
        <v>February</v>
      </c>
      <c r="G515" t="s">
        <v>1</v>
      </c>
      <c r="H515" t="s">
        <v>17</v>
      </c>
      <c r="I515" t="s">
        <v>18</v>
      </c>
      <c r="J515" t="str">
        <f t="shared" ref="J515:J578" si="17">IF(OR(G515="UTI", G515="Pneumonia", G515="Typhoid"),
   IF(H515="None","Error: Should have antibiotics","OK"),
   IF(H515&lt;&gt;"None","Error: Should be None","OK"))</f>
        <v>Error: Should be None</v>
      </c>
      <c r="K515">
        <v>6</v>
      </c>
      <c r="L515" s="2">
        <v>206.26</v>
      </c>
      <c r="M515" t="s">
        <v>10</v>
      </c>
    </row>
    <row r="516" spans="1:13" x14ac:dyDescent="0.35">
      <c r="A516">
        <v>515</v>
      </c>
      <c r="B516">
        <v>3</v>
      </c>
      <c r="C516" t="str">
        <f>IF(Hospital[[#This Row],[Age]]&lt;=12,"Child",
IF(Hospital[[#This Row],[Age]]&lt;=19,"Teen",
IF(Hospital[[#This Row],[Age]]&lt;=35,"Young Adult",
IF(Hospital[[#This Row],[Age]]&lt;=59,"Adult",
"Senior"))))</f>
        <v>Child</v>
      </c>
      <c r="D516" t="s">
        <v>0</v>
      </c>
      <c r="E516" s="1">
        <v>45370</v>
      </c>
      <c r="F516" s="1" t="str">
        <f t="shared" si="16"/>
        <v>March</v>
      </c>
      <c r="G516" t="s">
        <v>11</v>
      </c>
      <c r="H516" t="s">
        <v>14</v>
      </c>
      <c r="I516" t="s">
        <v>3</v>
      </c>
      <c r="J516" t="str">
        <f t="shared" si="17"/>
        <v>Error: Should be None</v>
      </c>
      <c r="K516">
        <v>0</v>
      </c>
      <c r="L516" s="2">
        <v>327.88</v>
      </c>
      <c r="M516" t="s">
        <v>4</v>
      </c>
    </row>
    <row r="517" spans="1:13" x14ac:dyDescent="0.35">
      <c r="A517">
        <v>516</v>
      </c>
      <c r="B517">
        <v>10</v>
      </c>
      <c r="C517" t="str">
        <f>IF(Hospital[[#This Row],[Age]]&lt;=12,"Child",
IF(Hospital[[#This Row],[Age]]&lt;=19,"Teen",
IF(Hospital[[#This Row],[Age]]&lt;=35,"Young Adult",
IF(Hospital[[#This Row],[Age]]&lt;=59,"Adult",
"Senior"))))</f>
        <v>Child</v>
      </c>
      <c r="D517" t="s">
        <v>0</v>
      </c>
      <c r="E517" s="1">
        <v>45526</v>
      </c>
      <c r="F517" s="1" t="str">
        <f t="shared" si="16"/>
        <v>August</v>
      </c>
      <c r="G517" t="s">
        <v>11</v>
      </c>
      <c r="H517" t="s">
        <v>2</v>
      </c>
      <c r="I517" t="s">
        <v>3</v>
      </c>
      <c r="J517" t="str">
        <f t="shared" si="17"/>
        <v>Error: Should be None</v>
      </c>
      <c r="K517">
        <v>4</v>
      </c>
      <c r="L517" s="2">
        <v>397.71</v>
      </c>
      <c r="M517" t="s">
        <v>16</v>
      </c>
    </row>
    <row r="518" spans="1:13" x14ac:dyDescent="0.35">
      <c r="A518">
        <v>517</v>
      </c>
      <c r="B518">
        <v>37</v>
      </c>
      <c r="C518" t="str">
        <f>IF(Hospital[[#This Row],[Age]]&lt;=12,"Child",
IF(Hospital[[#This Row],[Age]]&lt;=19,"Teen",
IF(Hospital[[#This Row],[Age]]&lt;=35,"Young Adult",
IF(Hospital[[#This Row],[Age]]&lt;=59,"Adult",
"Senior"))))</f>
        <v>Adult</v>
      </c>
      <c r="D518" t="s">
        <v>0</v>
      </c>
      <c r="E518" s="1">
        <v>45548</v>
      </c>
      <c r="F518" s="1" t="str">
        <f t="shared" si="16"/>
        <v>September</v>
      </c>
      <c r="G518" t="s">
        <v>6</v>
      </c>
      <c r="H518" t="s">
        <v>2</v>
      </c>
      <c r="I518" t="s">
        <v>3</v>
      </c>
      <c r="J518" t="str">
        <f t="shared" si="17"/>
        <v>Error: Should be None</v>
      </c>
      <c r="K518">
        <v>6</v>
      </c>
      <c r="L518" s="2">
        <v>414.62</v>
      </c>
      <c r="M518" t="s">
        <v>4</v>
      </c>
    </row>
    <row r="519" spans="1:13" x14ac:dyDescent="0.35">
      <c r="A519">
        <v>518</v>
      </c>
      <c r="B519">
        <v>69</v>
      </c>
      <c r="C519" t="str">
        <f>IF(Hospital[[#This Row],[Age]]&lt;=12,"Child",
IF(Hospital[[#This Row],[Age]]&lt;=19,"Teen",
IF(Hospital[[#This Row],[Age]]&lt;=35,"Young Adult",
IF(Hospital[[#This Row],[Age]]&lt;=59,"Adult",
"Senior"))))</f>
        <v>Senior</v>
      </c>
      <c r="D519" t="s">
        <v>5</v>
      </c>
      <c r="E519" s="1">
        <v>45412</v>
      </c>
      <c r="F519" s="1" t="str">
        <f t="shared" si="16"/>
        <v>April</v>
      </c>
      <c r="G519" t="s">
        <v>1</v>
      </c>
      <c r="H519" t="s">
        <v>17</v>
      </c>
      <c r="I519" t="s">
        <v>20</v>
      </c>
      <c r="J519" t="str">
        <f t="shared" si="17"/>
        <v>Error: Should be None</v>
      </c>
      <c r="K519">
        <v>8</v>
      </c>
      <c r="L519" s="2">
        <v>161.59</v>
      </c>
      <c r="M519" t="s">
        <v>8</v>
      </c>
    </row>
    <row r="520" spans="1:13" x14ac:dyDescent="0.35">
      <c r="A520">
        <v>519</v>
      </c>
      <c r="B520">
        <v>83</v>
      </c>
      <c r="C520" t="str">
        <f>IF(Hospital[[#This Row],[Age]]&lt;=12,"Child",
IF(Hospital[[#This Row],[Age]]&lt;=19,"Teen",
IF(Hospital[[#This Row],[Age]]&lt;=35,"Young Adult",
IF(Hospital[[#This Row],[Age]]&lt;=59,"Adult",
"Senior"))))</f>
        <v>Senior</v>
      </c>
      <c r="D520" t="s">
        <v>0</v>
      </c>
      <c r="E520" s="1">
        <v>45232</v>
      </c>
      <c r="F520" s="1" t="str">
        <f t="shared" si="16"/>
        <v>November</v>
      </c>
      <c r="G520" t="s">
        <v>11</v>
      </c>
      <c r="H520" t="s">
        <v>7</v>
      </c>
      <c r="I520" t="s">
        <v>3</v>
      </c>
      <c r="J520" t="str">
        <f t="shared" si="17"/>
        <v>Error: Should be None</v>
      </c>
      <c r="K520">
        <v>8</v>
      </c>
      <c r="L520" s="2">
        <v>439.89</v>
      </c>
      <c r="M520" t="s">
        <v>8</v>
      </c>
    </row>
    <row r="521" spans="1:13" x14ac:dyDescent="0.35">
      <c r="A521">
        <v>520</v>
      </c>
      <c r="B521">
        <v>1</v>
      </c>
      <c r="C521" t="str">
        <f>IF(Hospital[[#This Row],[Age]]&lt;=12,"Child",
IF(Hospital[[#This Row],[Age]]&lt;=19,"Teen",
IF(Hospital[[#This Row],[Age]]&lt;=35,"Young Adult",
IF(Hospital[[#This Row],[Age]]&lt;=59,"Adult",
"Senior"))))</f>
        <v>Child</v>
      </c>
      <c r="D521" t="s">
        <v>0</v>
      </c>
      <c r="E521" s="1">
        <v>45053</v>
      </c>
      <c r="F521" s="1" t="str">
        <f t="shared" si="16"/>
        <v>May</v>
      </c>
      <c r="G521" t="s">
        <v>11</v>
      </c>
      <c r="H521" t="s">
        <v>2</v>
      </c>
      <c r="I521" t="s">
        <v>3</v>
      </c>
      <c r="J521" t="str">
        <f t="shared" si="17"/>
        <v>Error: Should be None</v>
      </c>
      <c r="K521">
        <v>4</v>
      </c>
      <c r="L521" s="2">
        <v>120.83</v>
      </c>
      <c r="M521" t="s">
        <v>16</v>
      </c>
    </row>
    <row r="522" spans="1:13" x14ac:dyDescent="0.35">
      <c r="A522">
        <v>521</v>
      </c>
      <c r="B522">
        <v>83</v>
      </c>
      <c r="C522" t="str">
        <f>IF(Hospital[[#This Row],[Age]]&lt;=12,"Child",
IF(Hospital[[#This Row],[Age]]&lt;=19,"Teen",
IF(Hospital[[#This Row],[Age]]&lt;=35,"Young Adult",
IF(Hospital[[#This Row],[Age]]&lt;=59,"Adult",
"Senior"))))</f>
        <v>Senior</v>
      </c>
      <c r="D522" t="s">
        <v>5</v>
      </c>
      <c r="E522" s="1">
        <v>45143</v>
      </c>
      <c r="F522" s="1" t="str">
        <f t="shared" si="16"/>
        <v>August</v>
      </c>
      <c r="G522" t="s">
        <v>1</v>
      </c>
      <c r="H522" t="s">
        <v>12</v>
      </c>
      <c r="I522" t="s">
        <v>13</v>
      </c>
      <c r="J522" t="str">
        <f t="shared" si="17"/>
        <v>Error: Should be None</v>
      </c>
      <c r="K522">
        <v>3</v>
      </c>
      <c r="L522" s="2">
        <v>316.10000000000002</v>
      </c>
      <c r="M522" t="s">
        <v>16</v>
      </c>
    </row>
    <row r="523" spans="1:13" x14ac:dyDescent="0.35">
      <c r="A523">
        <v>522</v>
      </c>
      <c r="B523">
        <v>24</v>
      </c>
      <c r="C52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23" t="s">
        <v>5</v>
      </c>
      <c r="E523" s="1">
        <v>45125</v>
      </c>
      <c r="F523" s="1" t="str">
        <f t="shared" si="16"/>
        <v>July</v>
      </c>
      <c r="G523" t="s">
        <v>6</v>
      </c>
      <c r="H523" t="s">
        <v>2</v>
      </c>
      <c r="I523" t="s">
        <v>3</v>
      </c>
      <c r="J523" t="str">
        <f t="shared" si="17"/>
        <v>Error: Should be None</v>
      </c>
      <c r="K523">
        <v>10</v>
      </c>
      <c r="L523" s="2">
        <v>283.83999999999997</v>
      </c>
      <c r="M523" t="s">
        <v>16</v>
      </c>
    </row>
    <row r="524" spans="1:13" x14ac:dyDescent="0.35">
      <c r="A524">
        <v>523</v>
      </c>
      <c r="B524">
        <v>33</v>
      </c>
      <c r="C52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24" t="s">
        <v>5</v>
      </c>
      <c r="E524" s="1">
        <v>45614</v>
      </c>
      <c r="F524" s="1" t="str">
        <f t="shared" si="16"/>
        <v>November</v>
      </c>
      <c r="G524" t="s">
        <v>1</v>
      </c>
      <c r="H524" t="s">
        <v>2</v>
      </c>
      <c r="I524" t="s">
        <v>3</v>
      </c>
      <c r="J524" t="str">
        <f t="shared" si="17"/>
        <v>Error: Should be None</v>
      </c>
      <c r="K524">
        <v>9</v>
      </c>
      <c r="L524" s="2">
        <v>253.85</v>
      </c>
      <c r="M524" t="s">
        <v>16</v>
      </c>
    </row>
    <row r="525" spans="1:13" x14ac:dyDescent="0.35">
      <c r="A525">
        <v>524</v>
      </c>
      <c r="B525">
        <v>84</v>
      </c>
      <c r="C525" t="str">
        <f>IF(Hospital[[#This Row],[Age]]&lt;=12,"Child",
IF(Hospital[[#This Row],[Age]]&lt;=19,"Teen",
IF(Hospital[[#This Row],[Age]]&lt;=35,"Young Adult",
IF(Hospital[[#This Row],[Age]]&lt;=59,"Adult",
"Senior"))))</f>
        <v>Senior</v>
      </c>
      <c r="D525" t="s">
        <v>5</v>
      </c>
      <c r="E525" s="1">
        <v>45292</v>
      </c>
      <c r="F525" s="1" t="str">
        <f t="shared" si="16"/>
        <v>January</v>
      </c>
      <c r="G525" t="s">
        <v>11</v>
      </c>
      <c r="H525" t="s">
        <v>17</v>
      </c>
      <c r="I525" t="s">
        <v>18</v>
      </c>
      <c r="J525" t="str">
        <f t="shared" si="17"/>
        <v>Error: Should be None</v>
      </c>
      <c r="K525">
        <v>9</v>
      </c>
      <c r="L525" s="2">
        <v>53.51</v>
      </c>
      <c r="M525" t="s">
        <v>8</v>
      </c>
    </row>
    <row r="526" spans="1:13" x14ac:dyDescent="0.35">
      <c r="A526">
        <v>525</v>
      </c>
      <c r="B526">
        <v>58</v>
      </c>
      <c r="C526" t="str">
        <f>IF(Hospital[[#This Row],[Age]]&lt;=12,"Child",
IF(Hospital[[#This Row],[Age]]&lt;=19,"Teen",
IF(Hospital[[#This Row],[Age]]&lt;=35,"Young Adult",
IF(Hospital[[#This Row],[Age]]&lt;=59,"Adult",
"Senior"))))</f>
        <v>Adult</v>
      </c>
      <c r="D526" t="s">
        <v>0</v>
      </c>
      <c r="E526" s="1">
        <v>45252</v>
      </c>
      <c r="F526" s="1" t="str">
        <f t="shared" si="16"/>
        <v>November</v>
      </c>
      <c r="G526" t="s">
        <v>19</v>
      </c>
      <c r="H526" t="s">
        <v>12</v>
      </c>
      <c r="I526" t="s">
        <v>3</v>
      </c>
      <c r="J526" t="str">
        <f t="shared" si="17"/>
        <v>Error: Should be None</v>
      </c>
      <c r="K526">
        <v>2</v>
      </c>
      <c r="L526" s="2">
        <v>291.45999999999998</v>
      </c>
      <c r="M526" t="s">
        <v>16</v>
      </c>
    </row>
    <row r="527" spans="1:13" x14ac:dyDescent="0.35">
      <c r="A527">
        <v>526</v>
      </c>
      <c r="B527">
        <v>22</v>
      </c>
      <c r="C527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27" t="s">
        <v>5</v>
      </c>
      <c r="E527" s="1">
        <v>45250</v>
      </c>
      <c r="F527" s="1" t="str">
        <f t="shared" si="16"/>
        <v>November</v>
      </c>
      <c r="G527" t="s">
        <v>19</v>
      </c>
      <c r="H527" t="s">
        <v>12</v>
      </c>
      <c r="I527" t="s">
        <v>13</v>
      </c>
      <c r="J527" t="str">
        <f t="shared" si="17"/>
        <v>Error: Should be None</v>
      </c>
      <c r="K527">
        <v>3</v>
      </c>
      <c r="L527" s="2">
        <v>361.86</v>
      </c>
      <c r="M527" t="s">
        <v>10</v>
      </c>
    </row>
    <row r="528" spans="1:13" x14ac:dyDescent="0.35">
      <c r="A528">
        <v>527</v>
      </c>
      <c r="B528">
        <v>18</v>
      </c>
      <c r="C528" t="str">
        <f>IF(Hospital[[#This Row],[Age]]&lt;=12,"Child",
IF(Hospital[[#This Row],[Age]]&lt;=19,"Teen",
IF(Hospital[[#This Row],[Age]]&lt;=35,"Young Adult",
IF(Hospital[[#This Row],[Age]]&lt;=59,"Adult",
"Senior"))))</f>
        <v>Teen</v>
      </c>
      <c r="D528" t="s">
        <v>0</v>
      </c>
      <c r="E528" s="1">
        <v>45210</v>
      </c>
      <c r="F528" s="1" t="str">
        <f t="shared" si="16"/>
        <v>October</v>
      </c>
      <c r="G528" t="s">
        <v>6</v>
      </c>
      <c r="H528" t="s">
        <v>14</v>
      </c>
      <c r="I528" t="s">
        <v>20</v>
      </c>
      <c r="J528" t="str">
        <f t="shared" si="17"/>
        <v>Error: Should be None</v>
      </c>
      <c r="K528">
        <v>7</v>
      </c>
      <c r="L528" s="2">
        <v>192.2</v>
      </c>
      <c r="M528" t="s">
        <v>16</v>
      </c>
    </row>
    <row r="529" spans="1:13" x14ac:dyDescent="0.35">
      <c r="A529">
        <v>528</v>
      </c>
      <c r="B529">
        <v>14</v>
      </c>
      <c r="C529" t="str">
        <f>IF(Hospital[[#This Row],[Age]]&lt;=12,"Child",
IF(Hospital[[#This Row],[Age]]&lt;=19,"Teen",
IF(Hospital[[#This Row],[Age]]&lt;=35,"Young Adult",
IF(Hospital[[#This Row],[Age]]&lt;=59,"Adult",
"Senior"))))</f>
        <v>Teen</v>
      </c>
      <c r="D529" t="s">
        <v>5</v>
      </c>
      <c r="E529" s="1">
        <v>45425</v>
      </c>
      <c r="F529" s="1" t="str">
        <f t="shared" si="16"/>
        <v>May</v>
      </c>
      <c r="G529" t="s">
        <v>11</v>
      </c>
      <c r="H529" t="s">
        <v>9</v>
      </c>
      <c r="I529" t="s">
        <v>3</v>
      </c>
      <c r="J529" t="str">
        <f t="shared" si="17"/>
        <v>Error: Should be None</v>
      </c>
      <c r="K529">
        <v>4</v>
      </c>
      <c r="L529" s="2">
        <v>432.18</v>
      </c>
      <c r="M529" t="s">
        <v>8</v>
      </c>
    </row>
    <row r="530" spans="1:13" x14ac:dyDescent="0.35">
      <c r="A530">
        <v>529</v>
      </c>
      <c r="B530">
        <v>34</v>
      </c>
      <c r="C53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30" t="s">
        <v>5</v>
      </c>
      <c r="E530" s="1">
        <v>45478</v>
      </c>
      <c r="F530" s="1" t="str">
        <f t="shared" si="16"/>
        <v>July</v>
      </c>
      <c r="G530" t="s">
        <v>11</v>
      </c>
      <c r="H530" t="s">
        <v>17</v>
      </c>
      <c r="I530" t="s">
        <v>15</v>
      </c>
      <c r="J530" t="str">
        <f t="shared" si="17"/>
        <v>Error: Should be None</v>
      </c>
      <c r="K530">
        <v>8</v>
      </c>
      <c r="L530" s="2">
        <v>323.18</v>
      </c>
      <c r="M530" t="s">
        <v>10</v>
      </c>
    </row>
    <row r="531" spans="1:13" x14ac:dyDescent="0.35">
      <c r="A531">
        <v>530</v>
      </c>
      <c r="B531">
        <v>5</v>
      </c>
      <c r="C531" t="str">
        <f>IF(Hospital[[#This Row],[Age]]&lt;=12,"Child",
IF(Hospital[[#This Row],[Age]]&lt;=19,"Teen",
IF(Hospital[[#This Row],[Age]]&lt;=35,"Young Adult",
IF(Hospital[[#This Row],[Age]]&lt;=59,"Adult",
"Senior"))))</f>
        <v>Child</v>
      </c>
      <c r="D531" t="s">
        <v>0</v>
      </c>
      <c r="E531" s="1">
        <v>45531</v>
      </c>
      <c r="F531" s="1" t="str">
        <f t="shared" si="16"/>
        <v>August</v>
      </c>
      <c r="G531" t="s">
        <v>6</v>
      </c>
      <c r="H531" t="s">
        <v>17</v>
      </c>
      <c r="I531" t="s">
        <v>13</v>
      </c>
      <c r="J531" t="str">
        <f t="shared" si="17"/>
        <v>Error: Should be None</v>
      </c>
      <c r="K531">
        <v>5</v>
      </c>
      <c r="L531" s="2">
        <v>208.4</v>
      </c>
      <c r="M531" t="s">
        <v>16</v>
      </c>
    </row>
    <row r="532" spans="1:13" x14ac:dyDescent="0.35">
      <c r="A532">
        <v>531</v>
      </c>
      <c r="B532">
        <v>65</v>
      </c>
      <c r="C532" t="str">
        <f>IF(Hospital[[#This Row],[Age]]&lt;=12,"Child",
IF(Hospital[[#This Row],[Age]]&lt;=19,"Teen",
IF(Hospital[[#This Row],[Age]]&lt;=35,"Young Adult",
IF(Hospital[[#This Row],[Age]]&lt;=59,"Adult",
"Senior"))))</f>
        <v>Senior</v>
      </c>
      <c r="D532" t="s">
        <v>5</v>
      </c>
      <c r="E532" s="1">
        <v>45064</v>
      </c>
      <c r="F532" s="1" t="str">
        <f t="shared" si="16"/>
        <v>May</v>
      </c>
      <c r="G532" t="s">
        <v>6</v>
      </c>
      <c r="H532" t="s">
        <v>12</v>
      </c>
      <c r="I532" t="s">
        <v>18</v>
      </c>
      <c r="J532" t="str">
        <f t="shared" si="17"/>
        <v>Error: Should be None</v>
      </c>
      <c r="K532">
        <v>8</v>
      </c>
      <c r="L532" s="2">
        <v>25.08</v>
      </c>
      <c r="M532" t="s">
        <v>8</v>
      </c>
    </row>
    <row r="533" spans="1:13" x14ac:dyDescent="0.35">
      <c r="A533">
        <v>532</v>
      </c>
      <c r="B533">
        <v>22</v>
      </c>
      <c r="C53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33" t="s">
        <v>5</v>
      </c>
      <c r="E533" s="1">
        <v>45555</v>
      </c>
      <c r="F533" s="1" t="str">
        <f t="shared" si="16"/>
        <v>September</v>
      </c>
      <c r="G533" t="s">
        <v>6</v>
      </c>
      <c r="H533" t="s">
        <v>7</v>
      </c>
      <c r="I533" t="s">
        <v>3</v>
      </c>
      <c r="J533" t="str">
        <f t="shared" si="17"/>
        <v>Error: Should be None</v>
      </c>
      <c r="K533">
        <v>2</v>
      </c>
      <c r="L533" s="2">
        <v>105.99</v>
      </c>
      <c r="M533" t="s">
        <v>8</v>
      </c>
    </row>
    <row r="534" spans="1:13" x14ac:dyDescent="0.35">
      <c r="A534">
        <v>533</v>
      </c>
      <c r="B534">
        <v>6</v>
      </c>
      <c r="C534" t="str">
        <f>IF(Hospital[[#This Row],[Age]]&lt;=12,"Child",
IF(Hospital[[#This Row],[Age]]&lt;=19,"Teen",
IF(Hospital[[#This Row],[Age]]&lt;=35,"Young Adult",
IF(Hospital[[#This Row],[Age]]&lt;=59,"Adult",
"Senior"))))</f>
        <v>Child</v>
      </c>
      <c r="D534" t="s">
        <v>5</v>
      </c>
      <c r="E534" s="1">
        <v>45422</v>
      </c>
      <c r="F534" s="1" t="str">
        <f t="shared" si="16"/>
        <v>May</v>
      </c>
      <c r="G534" t="s">
        <v>6</v>
      </c>
      <c r="H534" t="s">
        <v>14</v>
      </c>
      <c r="I534" t="s">
        <v>13</v>
      </c>
      <c r="J534" t="str">
        <f t="shared" si="17"/>
        <v>Error: Should be None</v>
      </c>
      <c r="K534">
        <v>1</v>
      </c>
      <c r="L534" s="2">
        <v>146.88999999999999</v>
      </c>
      <c r="M534" t="s">
        <v>8</v>
      </c>
    </row>
    <row r="535" spans="1:13" x14ac:dyDescent="0.35">
      <c r="A535">
        <v>534</v>
      </c>
      <c r="B535">
        <v>27</v>
      </c>
      <c r="C53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35" t="s">
        <v>0</v>
      </c>
      <c r="E535" s="1">
        <v>44970</v>
      </c>
      <c r="F535" s="1" t="str">
        <f t="shared" si="16"/>
        <v>February</v>
      </c>
      <c r="G535" t="s">
        <v>6</v>
      </c>
      <c r="H535" t="s">
        <v>7</v>
      </c>
      <c r="I535" t="s">
        <v>3</v>
      </c>
      <c r="J535" t="str">
        <f t="shared" si="17"/>
        <v>Error: Should be None</v>
      </c>
      <c r="K535">
        <v>7</v>
      </c>
      <c r="L535" s="2">
        <v>460.59</v>
      </c>
      <c r="M535" t="s">
        <v>4</v>
      </c>
    </row>
    <row r="536" spans="1:13" x14ac:dyDescent="0.35">
      <c r="A536">
        <v>535</v>
      </c>
      <c r="B536">
        <v>42</v>
      </c>
      <c r="C536" t="str">
        <f>IF(Hospital[[#This Row],[Age]]&lt;=12,"Child",
IF(Hospital[[#This Row],[Age]]&lt;=19,"Teen",
IF(Hospital[[#This Row],[Age]]&lt;=35,"Young Adult",
IF(Hospital[[#This Row],[Age]]&lt;=59,"Adult",
"Senior"))))</f>
        <v>Adult</v>
      </c>
      <c r="D536" t="s">
        <v>5</v>
      </c>
      <c r="E536" s="1">
        <v>44967</v>
      </c>
      <c r="F536" s="1" t="str">
        <f t="shared" si="16"/>
        <v>February</v>
      </c>
      <c r="G536" t="s">
        <v>19</v>
      </c>
      <c r="H536" t="s">
        <v>7</v>
      </c>
      <c r="I536" t="s">
        <v>3</v>
      </c>
      <c r="J536" t="str">
        <f t="shared" si="17"/>
        <v>Error: Should be None</v>
      </c>
      <c r="K536">
        <v>4</v>
      </c>
      <c r="L536" s="2">
        <v>297.74</v>
      </c>
      <c r="M536" t="s">
        <v>8</v>
      </c>
    </row>
    <row r="537" spans="1:13" x14ac:dyDescent="0.35">
      <c r="A537">
        <v>536</v>
      </c>
      <c r="B537">
        <v>49</v>
      </c>
      <c r="C537" t="str">
        <f>IF(Hospital[[#This Row],[Age]]&lt;=12,"Child",
IF(Hospital[[#This Row],[Age]]&lt;=19,"Teen",
IF(Hospital[[#This Row],[Age]]&lt;=35,"Young Adult",
IF(Hospital[[#This Row],[Age]]&lt;=59,"Adult",
"Senior"))))</f>
        <v>Adult</v>
      </c>
      <c r="D537" t="s">
        <v>0</v>
      </c>
      <c r="E537" s="1">
        <v>45312</v>
      </c>
      <c r="F537" s="1" t="str">
        <f t="shared" si="16"/>
        <v>January</v>
      </c>
      <c r="G537" t="s">
        <v>11</v>
      </c>
      <c r="H537" t="s">
        <v>7</v>
      </c>
      <c r="I537" t="s">
        <v>3</v>
      </c>
      <c r="J537" t="str">
        <f t="shared" si="17"/>
        <v>Error: Should be None</v>
      </c>
      <c r="K537">
        <v>8</v>
      </c>
      <c r="L537" s="2">
        <v>140.76</v>
      </c>
      <c r="M537" t="s">
        <v>8</v>
      </c>
    </row>
    <row r="538" spans="1:13" x14ac:dyDescent="0.35">
      <c r="A538">
        <v>537</v>
      </c>
      <c r="B538">
        <v>46</v>
      </c>
      <c r="C538" t="str">
        <f>IF(Hospital[[#This Row],[Age]]&lt;=12,"Child",
IF(Hospital[[#This Row],[Age]]&lt;=19,"Teen",
IF(Hospital[[#This Row],[Age]]&lt;=35,"Young Adult",
IF(Hospital[[#This Row],[Age]]&lt;=59,"Adult",
"Senior"))))</f>
        <v>Adult</v>
      </c>
      <c r="D538" t="s">
        <v>0</v>
      </c>
      <c r="E538" s="1">
        <v>45455</v>
      </c>
      <c r="F538" s="1" t="str">
        <f t="shared" si="16"/>
        <v>June</v>
      </c>
      <c r="G538" t="s">
        <v>6</v>
      </c>
      <c r="H538" t="s">
        <v>12</v>
      </c>
      <c r="I538" t="s">
        <v>20</v>
      </c>
      <c r="J538" t="str">
        <f t="shared" si="17"/>
        <v>Error: Should be None</v>
      </c>
      <c r="K538">
        <v>9</v>
      </c>
      <c r="L538" s="2">
        <v>23.17</v>
      </c>
      <c r="M538" t="s">
        <v>8</v>
      </c>
    </row>
    <row r="539" spans="1:13" x14ac:dyDescent="0.35">
      <c r="A539">
        <v>538</v>
      </c>
      <c r="B539">
        <v>30</v>
      </c>
      <c r="C53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39" t="s">
        <v>5</v>
      </c>
      <c r="E539" s="1">
        <v>45377</v>
      </c>
      <c r="F539" s="1" t="str">
        <f t="shared" si="16"/>
        <v>March</v>
      </c>
      <c r="G539" t="s">
        <v>19</v>
      </c>
      <c r="H539" t="s">
        <v>17</v>
      </c>
      <c r="I539" t="s">
        <v>13</v>
      </c>
      <c r="J539" t="str">
        <f t="shared" si="17"/>
        <v>Error: Should be None</v>
      </c>
      <c r="K539">
        <v>2</v>
      </c>
      <c r="L539" s="2">
        <v>109.71</v>
      </c>
      <c r="M539" t="s">
        <v>16</v>
      </c>
    </row>
    <row r="540" spans="1:13" x14ac:dyDescent="0.35">
      <c r="A540">
        <v>539</v>
      </c>
      <c r="B540">
        <v>16</v>
      </c>
      <c r="C540" t="str">
        <f>IF(Hospital[[#This Row],[Age]]&lt;=12,"Child",
IF(Hospital[[#This Row],[Age]]&lt;=19,"Teen",
IF(Hospital[[#This Row],[Age]]&lt;=35,"Young Adult",
IF(Hospital[[#This Row],[Age]]&lt;=59,"Adult",
"Senior"))))</f>
        <v>Teen</v>
      </c>
      <c r="D540" t="s">
        <v>5</v>
      </c>
      <c r="E540" s="1">
        <v>45543</v>
      </c>
      <c r="F540" s="1" t="str">
        <f t="shared" si="16"/>
        <v>September</v>
      </c>
      <c r="G540" t="s">
        <v>6</v>
      </c>
      <c r="H540" t="s">
        <v>7</v>
      </c>
      <c r="I540" t="s">
        <v>3</v>
      </c>
      <c r="J540" t="str">
        <f t="shared" si="17"/>
        <v>Error: Should be None</v>
      </c>
      <c r="K540">
        <v>5</v>
      </c>
      <c r="L540" s="2">
        <v>365.72</v>
      </c>
      <c r="M540" t="s">
        <v>10</v>
      </c>
    </row>
    <row r="541" spans="1:13" x14ac:dyDescent="0.35">
      <c r="A541">
        <v>540</v>
      </c>
      <c r="B541">
        <v>62</v>
      </c>
      <c r="C541" t="str">
        <f>IF(Hospital[[#This Row],[Age]]&lt;=12,"Child",
IF(Hospital[[#This Row],[Age]]&lt;=19,"Teen",
IF(Hospital[[#This Row],[Age]]&lt;=35,"Young Adult",
IF(Hospital[[#This Row],[Age]]&lt;=59,"Adult",
"Senior"))))</f>
        <v>Senior</v>
      </c>
      <c r="D541" t="s">
        <v>5</v>
      </c>
      <c r="E541" s="1">
        <v>45618</v>
      </c>
      <c r="F541" s="1" t="str">
        <f t="shared" si="16"/>
        <v>November</v>
      </c>
      <c r="G541" t="s">
        <v>1</v>
      </c>
      <c r="H541" t="s">
        <v>12</v>
      </c>
      <c r="I541" t="s">
        <v>20</v>
      </c>
      <c r="J541" t="str">
        <f t="shared" si="17"/>
        <v>Error: Should be None</v>
      </c>
      <c r="K541">
        <v>0</v>
      </c>
      <c r="L541" s="2">
        <v>136.96</v>
      </c>
      <c r="M541" t="s">
        <v>8</v>
      </c>
    </row>
    <row r="542" spans="1:13" x14ac:dyDescent="0.35">
      <c r="A542">
        <v>541</v>
      </c>
      <c r="B542">
        <v>21</v>
      </c>
      <c r="C54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42" t="s">
        <v>5</v>
      </c>
      <c r="E542" s="1">
        <v>45514</v>
      </c>
      <c r="F542" s="1" t="str">
        <f t="shared" si="16"/>
        <v>August</v>
      </c>
      <c r="G542" t="s">
        <v>11</v>
      </c>
      <c r="H542" t="s">
        <v>9</v>
      </c>
      <c r="I542" t="s">
        <v>3</v>
      </c>
      <c r="J542" t="str">
        <f t="shared" si="17"/>
        <v>Error: Should be None</v>
      </c>
      <c r="K542">
        <v>9</v>
      </c>
      <c r="L542" s="2">
        <v>90.5</v>
      </c>
      <c r="M542" t="s">
        <v>8</v>
      </c>
    </row>
    <row r="543" spans="1:13" x14ac:dyDescent="0.35">
      <c r="A543">
        <v>542</v>
      </c>
      <c r="B543">
        <v>67</v>
      </c>
      <c r="C543" t="str">
        <f>IF(Hospital[[#This Row],[Age]]&lt;=12,"Child",
IF(Hospital[[#This Row],[Age]]&lt;=19,"Teen",
IF(Hospital[[#This Row],[Age]]&lt;=35,"Young Adult",
IF(Hospital[[#This Row],[Age]]&lt;=59,"Adult",
"Senior"))))</f>
        <v>Senior</v>
      </c>
      <c r="D543" t="s">
        <v>0</v>
      </c>
      <c r="E543" s="1">
        <v>45191</v>
      </c>
      <c r="F543" s="1" t="str">
        <f t="shared" si="16"/>
        <v>September</v>
      </c>
      <c r="G543" t="s">
        <v>11</v>
      </c>
      <c r="H543" t="s">
        <v>17</v>
      </c>
      <c r="I543" t="s">
        <v>18</v>
      </c>
      <c r="J543" t="str">
        <f t="shared" si="17"/>
        <v>Error: Should be None</v>
      </c>
      <c r="K543">
        <v>1</v>
      </c>
      <c r="L543" s="2">
        <v>123.96</v>
      </c>
      <c r="M543" t="s">
        <v>10</v>
      </c>
    </row>
    <row r="544" spans="1:13" x14ac:dyDescent="0.35">
      <c r="A544">
        <v>543</v>
      </c>
      <c r="B544">
        <v>29</v>
      </c>
      <c r="C54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44" t="s">
        <v>0</v>
      </c>
      <c r="E544" s="1">
        <v>45420</v>
      </c>
      <c r="F544" s="1" t="str">
        <f t="shared" si="16"/>
        <v>May</v>
      </c>
      <c r="G544" t="s">
        <v>1</v>
      </c>
      <c r="H544" t="s">
        <v>17</v>
      </c>
      <c r="I544" t="s">
        <v>3</v>
      </c>
      <c r="J544" t="str">
        <f t="shared" si="17"/>
        <v>Error: Should be None</v>
      </c>
      <c r="K544">
        <v>2</v>
      </c>
      <c r="L544" s="2">
        <v>319.14</v>
      </c>
      <c r="M544" t="s">
        <v>16</v>
      </c>
    </row>
    <row r="545" spans="1:13" x14ac:dyDescent="0.35">
      <c r="A545">
        <v>544</v>
      </c>
      <c r="B545">
        <v>44</v>
      </c>
      <c r="C545" t="str">
        <f>IF(Hospital[[#This Row],[Age]]&lt;=12,"Child",
IF(Hospital[[#This Row],[Age]]&lt;=19,"Teen",
IF(Hospital[[#This Row],[Age]]&lt;=35,"Young Adult",
IF(Hospital[[#This Row],[Age]]&lt;=59,"Adult",
"Senior"))))</f>
        <v>Adult</v>
      </c>
      <c r="D545" t="s">
        <v>0</v>
      </c>
      <c r="E545" s="1">
        <v>45098</v>
      </c>
      <c r="F545" s="1" t="str">
        <f t="shared" si="16"/>
        <v>June</v>
      </c>
      <c r="G545" t="s">
        <v>11</v>
      </c>
      <c r="H545" t="s">
        <v>7</v>
      </c>
      <c r="I545" t="s">
        <v>3</v>
      </c>
      <c r="J545" t="str">
        <f t="shared" si="17"/>
        <v>Error: Should be None</v>
      </c>
      <c r="K545">
        <v>3</v>
      </c>
      <c r="L545" s="2">
        <v>201.54</v>
      </c>
      <c r="M545" t="s">
        <v>8</v>
      </c>
    </row>
    <row r="546" spans="1:13" x14ac:dyDescent="0.35">
      <c r="A546">
        <v>545</v>
      </c>
      <c r="B546">
        <v>26</v>
      </c>
      <c r="C54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46" t="s">
        <v>0</v>
      </c>
      <c r="E546" s="1">
        <v>45038</v>
      </c>
      <c r="F546" s="1" t="str">
        <f t="shared" si="16"/>
        <v>April</v>
      </c>
      <c r="G546" t="s">
        <v>1</v>
      </c>
      <c r="H546" t="s">
        <v>2</v>
      </c>
      <c r="I546" t="s">
        <v>3</v>
      </c>
      <c r="J546" t="str">
        <f t="shared" si="17"/>
        <v>Error: Should be None</v>
      </c>
      <c r="K546">
        <v>9</v>
      </c>
      <c r="L546" s="2">
        <v>66.22</v>
      </c>
      <c r="M546" t="s">
        <v>10</v>
      </c>
    </row>
    <row r="547" spans="1:13" x14ac:dyDescent="0.35">
      <c r="A547">
        <v>546</v>
      </c>
      <c r="B547">
        <v>5</v>
      </c>
      <c r="C547" t="str">
        <f>IF(Hospital[[#This Row],[Age]]&lt;=12,"Child",
IF(Hospital[[#This Row],[Age]]&lt;=19,"Teen",
IF(Hospital[[#This Row],[Age]]&lt;=35,"Young Adult",
IF(Hospital[[#This Row],[Age]]&lt;=59,"Adult",
"Senior"))))</f>
        <v>Child</v>
      </c>
      <c r="D547" t="s">
        <v>5</v>
      </c>
      <c r="E547" s="1">
        <v>45556</v>
      </c>
      <c r="F547" s="1" t="str">
        <f t="shared" si="16"/>
        <v>September</v>
      </c>
      <c r="G547" t="s">
        <v>11</v>
      </c>
      <c r="H547" t="s">
        <v>9</v>
      </c>
      <c r="I547" t="s">
        <v>3</v>
      </c>
      <c r="J547" t="str">
        <f t="shared" si="17"/>
        <v>Error: Should be None</v>
      </c>
      <c r="K547">
        <v>7</v>
      </c>
      <c r="L547" s="2">
        <v>336.51</v>
      </c>
      <c r="M547" t="s">
        <v>4</v>
      </c>
    </row>
    <row r="548" spans="1:13" x14ac:dyDescent="0.35">
      <c r="A548">
        <v>547</v>
      </c>
      <c r="B548">
        <v>56</v>
      </c>
      <c r="C548" t="str">
        <f>IF(Hospital[[#This Row],[Age]]&lt;=12,"Child",
IF(Hospital[[#This Row],[Age]]&lt;=19,"Teen",
IF(Hospital[[#This Row],[Age]]&lt;=35,"Young Adult",
IF(Hospital[[#This Row],[Age]]&lt;=59,"Adult",
"Senior"))))</f>
        <v>Adult</v>
      </c>
      <c r="D548" t="s">
        <v>0</v>
      </c>
      <c r="E548" s="1">
        <v>45621</v>
      </c>
      <c r="F548" s="1" t="str">
        <f t="shared" si="16"/>
        <v>November</v>
      </c>
      <c r="G548" t="s">
        <v>19</v>
      </c>
      <c r="H548" t="s">
        <v>7</v>
      </c>
      <c r="I548" t="s">
        <v>3</v>
      </c>
      <c r="J548" t="str">
        <f t="shared" si="17"/>
        <v>Error: Should be None</v>
      </c>
      <c r="K548">
        <v>0</v>
      </c>
      <c r="L548" s="2">
        <v>354.87</v>
      </c>
      <c r="M548" t="s">
        <v>10</v>
      </c>
    </row>
    <row r="549" spans="1:13" x14ac:dyDescent="0.35">
      <c r="A549">
        <v>548</v>
      </c>
      <c r="B549">
        <v>49</v>
      </c>
      <c r="C549" t="str">
        <f>IF(Hospital[[#This Row],[Age]]&lt;=12,"Child",
IF(Hospital[[#This Row],[Age]]&lt;=19,"Teen",
IF(Hospital[[#This Row],[Age]]&lt;=35,"Young Adult",
IF(Hospital[[#This Row],[Age]]&lt;=59,"Adult",
"Senior"))))</f>
        <v>Adult</v>
      </c>
      <c r="D549" t="s">
        <v>0</v>
      </c>
      <c r="E549" s="1">
        <v>45161</v>
      </c>
      <c r="F549" s="1" t="str">
        <f t="shared" si="16"/>
        <v>August</v>
      </c>
      <c r="G549" t="s">
        <v>11</v>
      </c>
      <c r="H549" t="s">
        <v>12</v>
      </c>
      <c r="I549" t="s">
        <v>20</v>
      </c>
      <c r="J549" t="str">
        <f t="shared" si="17"/>
        <v>Error: Should be None</v>
      </c>
      <c r="K549">
        <v>2</v>
      </c>
      <c r="L549" s="2">
        <v>142.16999999999999</v>
      </c>
      <c r="M549" t="s">
        <v>8</v>
      </c>
    </row>
    <row r="550" spans="1:13" x14ac:dyDescent="0.35">
      <c r="A550">
        <v>549</v>
      </c>
      <c r="B550">
        <v>77</v>
      </c>
      <c r="C550" t="str">
        <f>IF(Hospital[[#This Row],[Age]]&lt;=12,"Child",
IF(Hospital[[#This Row],[Age]]&lt;=19,"Teen",
IF(Hospital[[#This Row],[Age]]&lt;=35,"Young Adult",
IF(Hospital[[#This Row],[Age]]&lt;=59,"Adult",
"Senior"))))</f>
        <v>Senior</v>
      </c>
      <c r="D550" t="s">
        <v>0</v>
      </c>
      <c r="E550" s="1">
        <v>45012</v>
      </c>
      <c r="F550" s="1" t="str">
        <f t="shared" si="16"/>
        <v>March</v>
      </c>
      <c r="G550" t="s">
        <v>19</v>
      </c>
      <c r="H550" t="s">
        <v>14</v>
      </c>
      <c r="I550" t="s">
        <v>13</v>
      </c>
      <c r="J550" t="str">
        <f t="shared" si="17"/>
        <v>Error: Should be None</v>
      </c>
      <c r="K550">
        <v>0</v>
      </c>
      <c r="L550" s="2">
        <v>360.39</v>
      </c>
      <c r="M550" t="s">
        <v>4</v>
      </c>
    </row>
    <row r="551" spans="1:13" x14ac:dyDescent="0.35">
      <c r="A551">
        <v>550</v>
      </c>
      <c r="B551">
        <v>16</v>
      </c>
      <c r="C551" t="str">
        <f>IF(Hospital[[#This Row],[Age]]&lt;=12,"Child",
IF(Hospital[[#This Row],[Age]]&lt;=19,"Teen",
IF(Hospital[[#This Row],[Age]]&lt;=35,"Young Adult",
IF(Hospital[[#This Row],[Age]]&lt;=59,"Adult",
"Senior"))))</f>
        <v>Teen</v>
      </c>
      <c r="D551" t="s">
        <v>5</v>
      </c>
      <c r="E551" s="1">
        <v>45518</v>
      </c>
      <c r="F551" s="1" t="str">
        <f t="shared" si="16"/>
        <v>August</v>
      </c>
      <c r="G551" t="s">
        <v>6</v>
      </c>
      <c r="H551" t="s">
        <v>9</v>
      </c>
      <c r="I551" t="s">
        <v>3</v>
      </c>
      <c r="J551" t="str">
        <f t="shared" si="17"/>
        <v>Error: Should be None</v>
      </c>
      <c r="K551">
        <v>10</v>
      </c>
      <c r="L551" s="2">
        <v>118.6</v>
      </c>
      <c r="M551" t="s">
        <v>16</v>
      </c>
    </row>
    <row r="552" spans="1:13" x14ac:dyDescent="0.35">
      <c r="A552">
        <v>551</v>
      </c>
      <c r="B552">
        <v>14</v>
      </c>
      <c r="C552" t="str">
        <f>IF(Hospital[[#This Row],[Age]]&lt;=12,"Child",
IF(Hospital[[#This Row],[Age]]&lt;=19,"Teen",
IF(Hospital[[#This Row],[Age]]&lt;=35,"Young Adult",
IF(Hospital[[#This Row],[Age]]&lt;=59,"Adult",
"Senior"))))</f>
        <v>Teen</v>
      </c>
      <c r="D552" t="s">
        <v>5</v>
      </c>
      <c r="E552" s="1">
        <v>45345</v>
      </c>
      <c r="F552" s="1" t="str">
        <f t="shared" si="16"/>
        <v>February</v>
      </c>
      <c r="G552" t="s">
        <v>6</v>
      </c>
      <c r="H552" t="s">
        <v>14</v>
      </c>
      <c r="I552" t="s">
        <v>3</v>
      </c>
      <c r="J552" t="str">
        <f t="shared" si="17"/>
        <v>Error: Should be None</v>
      </c>
      <c r="K552">
        <v>4</v>
      </c>
      <c r="L552" s="2">
        <v>145.43</v>
      </c>
      <c r="M552" t="s">
        <v>10</v>
      </c>
    </row>
    <row r="553" spans="1:13" x14ac:dyDescent="0.35">
      <c r="A553">
        <v>552</v>
      </c>
      <c r="B553">
        <v>79</v>
      </c>
      <c r="C553" t="str">
        <f>IF(Hospital[[#This Row],[Age]]&lt;=12,"Child",
IF(Hospital[[#This Row],[Age]]&lt;=19,"Teen",
IF(Hospital[[#This Row],[Age]]&lt;=35,"Young Adult",
IF(Hospital[[#This Row],[Age]]&lt;=59,"Adult",
"Senior"))))</f>
        <v>Senior</v>
      </c>
      <c r="D553" t="s">
        <v>0</v>
      </c>
      <c r="E553" s="1">
        <v>45505</v>
      </c>
      <c r="F553" s="1" t="str">
        <f t="shared" si="16"/>
        <v>August</v>
      </c>
      <c r="G553" t="s">
        <v>6</v>
      </c>
      <c r="H553" t="s">
        <v>14</v>
      </c>
      <c r="I553" t="s">
        <v>13</v>
      </c>
      <c r="J553" t="str">
        <f t="shared" si="17"/>
        <v>Error: Should be None</v>
      </c>
      <c r="K553">
        <v>6</v>
      </c>
      <c r="L553" s="2">
        <v>285.01</v>
      </c>
      <c r="M553" t="s">
        <v>10</v>
      </c>
    </row>
    <row r="554" spans="1:13" x14ac:dyDescent="0.35">
      <c r="A554">
        <v>553</v>
      </c>
      <c r="B554">
        <v>72</v>
      </c>
      <c r="C554" t="str">
        <f>IF(Hospital[[#This Row],[Age]]&lt;=12,"Child",
IF(Hospital[[#This Row],[Age]]&lt;=19,"Teen",
IF(Hospital[[#This Row],[Age]]&lt;=35,"Young Adult",
IF(Hospital[[#This Row],[Age]]&lt;=59,"Adult",
"Senior"))))</f>
        <v>Senior</v>
      </c>
      <c r="D554" t="s">
        <v>0</v>
      </c>
      <c r="E554" s="1">
        <v>45110</v>
      </c>
      <c r="F554" s="1" t="str">
        <f t="shared" si="16"/>
        <v>July</v>
      </c>
      <c r="G554" t="s">
        <v>19</v>
      </c>
      <c r="H554" t="s">
        <v>14</v>
      </c>
      <c r="I554" t="s">
        <v>18</v>
      </c>
      <c r="J554" t="str">
        <f t="shared" si="17"/>
        <v>Error: Should be None</v>
      </c>
      <c r="K554">
        <v>9</v>
      </c>
      <c r="L554" s="2">
        <v>185.29</v>
      </c>
      <c r="M554" t="s">
        <v>10</v>
      </c>
    </row>
    <row r="555" spans="1:13" x14ac:dyDescent="0.35">
      <c r="A555">
        <v>554</v>
      </c>
      <c r="B555">
        <v>16</v>
      </c>
      <c r="C555" t="str">
        <f>IF(Hospital[[#This Row],[Age]]&lt;=12,"Child",
IF(Hospital[[#This Row],[Age]]&lt;=19,"Teen",
IF(Hospital[[#This Row],[Age]]&lt;=35,"Young Adult",
IF(Hospital[[#This Row],[Age]]&lt;=59,"Adult",
"Senior"))))</f>
        <v>Teen</v>
      </c>
      <c r="D555" t="s">
        <v>5</v>
      </c>
      <c r="E555" s="1">
        <v>45068</v>
      </c>
      <c r="F555" s="1" t="str">
        <f t="shared" si="16"/>
        <v>May</v>
      </c>
      <c r="G555" t="s">
        <v>6</v>
      </c>
      <c r="H555" t="s">
        <v>7</v>
      </c>
      <c r="I555" t="s">
        <v>3</v>
      </c>
      <c r="J555" t="str">
        <f t="shared" si="17"/>
        <v>Error: Should be None</v>
      </c>
      <c r="K555">
        <v>2</v>
      </c>
      <c r="L555" s="2">
        <v>68.13</v>
      </c>
      <c r="M555" t="s">
        <v>10</v>
      </c>
    </row>
    <row r="556" spans="1:13" x14ac:dyDescent="0.35">
      <c r="A556">
        <v>555</v>
      </c>
      <c r="B556">
        <v>79</v>
      </c>
      <c r="C556" t="str">
        <f>IF(Hospital[[#This Row],[Age]]&lt;=12,"Child",
IF(Hospital[[#This Row],[Age]]&lt;=19,"Teen",
IF(Hospital[[#This Row],[Age]]&lt;=35,"Young Adult",
IF(Hospital[[#This Row],[Age]]&lt;=59,"Adult",
"Senior"))))</f>
        <v>Senior</v>
      </c>
      <c r="D556" t="s">
        <v>5</v>
      </c>
      <c r="E556" s="1">
        <v>45273</v>
      </c>
      <c r="F556" s="1" t="str">
        <f t="shared" si="16"/>
        <v>December</v>
      </c>
      <c r="G556" t="s">
        <v>1</v>
      </c>
      <c r="H556" t="s">
        <v>9</v>
      </c>
      <c r="I556" t="s">
        <v>3</v>
      </c>
      <c r="J556" t="str">
        <f t="shared" si="17"/>
        <v>Error: Should be None</v>
      </c>
      <c r="K556">
        <v>6</v>
      </c>
      <c r="L556" s="2">
        <v>482.99</v>
      </c>
      <c r="M556" t="s">
        <v>4</v>
      </c>
    </row>
    <row r="557" spans="1:13" x14ac:dyDescent="0.35">
      <c r="A557">
        <v>556</v>
      </c>
      <c r="B557">
        <v>61</v>
      </c>
      <c r="C557" t="str">
        <f>IF(Hospital[[#This Row],[Age]]&lt;=12,"Child",
IF(Hospital[[#This Row],[Age]]&lt;=19,"Teen",
IF(Hospital[[#This Row],[Age]]&lt;=35,"Young Adult",
IF(Hospital[[#This Row],[Age]]&lt;=59,"Adult",
"Senior"))))</f>
        <v>Senior</v>
      </c>
      <c r="D557" t="s">
        <v>0</v>
      </c>
      <c r="E557" s="1">
        <v>45020</v>
      </c>
      <c r="F557" s="1" t="str">
        <f t="shared" si="16"/>
        <v>April</v>
      </c>
      <c r="G557" t="s">
        <v>11</v>
      </c>
      <c r="H557" t="s">
        <v>17</v>
      </c>
      <c r="I557" t="s">
        <v>15</v>
      </c>
      <c r="J557" t="str">
        <f t="shared" si="17"/>
        <v>Error: Should be None</v>
      </c>
      <c r="K557">
        <v>4</v>
      </c>
      <c r="L557" s="2">
        <v>126.45</v>
      </c>
      <c r="M557" t="s">
        <v>4</v>
      </c>
    </row>
    <row r="558" spans="1:13" x14ac:dyDescent="0.35">
      <c r="A558">
        <v>557</v>
      </c>
      <c r="B558">
        <v>50</v>
      </c>
      <c r="C558" t="str">
        <f>IF(Hospital[[#This Row],[Age]]&lt;=12,"Child",
IF(Hospital[[#This Row],[Age]]&lt;=19,"Teen",
IF(Hospital[[#This Row],[Age]]&lt;=35,"Young Adult",
IF(Hospital[[#This Row],[Age]]&lt;=59,"Adult",
"Senior"))))</f>
        <v>Adult</v>
      </c>
      <c r="D558" t="s">
        <v>0</v>
      </c>
      <c r="E558" s="1">
        <v>45550</v>
      </c>
      <c r="F558" s="1" t="str">
        <f t="shared" si="16"/>
        <v>September</v>
      </c>
      <c r="G558" t="s">
        <v>19</v>
      </c>
      <c r="H558" t="s">
        <v>2</v>
      </c>
      <c r="I558" t="s">
        <v>3</v>
      </c>
      <c r="J558" t="str">
        <f t="shared" si="17"/>
        <v>Error: Should be None</v>
      </c>
      <c r="K558">
        <v>9</v>
      </c>
      <c r="L558" s="2">
        <v>47.58</v>
      </c>
      <c r="M558" t="s">
        <v>8</v>
      </c>
    </row>
    <row r="559" spans="1:13" x14ac:dyDescent="0.35">
      <c r="A559">
        <v>558</v>
      </c>
      <c r="B559">
        <v>57</v>
      </c>
      <c r="C559" t="str">
        <f>IF(Hospital[[#This Row],[Age]]&lt;=12,"Child",
IF(Hospital[[#This Row],[Age]]&lt;=19,"Teen",
IF(Hospital[[#This Row],[Age]]&lt;=35,"Young Adult",
IF(Hospital[[#This Row],[Age]]&lt;=59,"Adult",
"Senior"))))</f>
        <v>Adult</v>
      </c>
      <c r="D559" t="s">
        <v>5</v>
      </c>
      <c r="E559" s="1">
        <v>45582</v>
      </c>
      <c r="F559" s="1" t="str">
        <f t="shared" si="16"/>
        <v>October</v>
      </c>
      <c r="G559" t="s">
        <v>1</v>
      </c>
      <c r="H559" t="s">
        <v>12</v>
      </c>
      <c r="I559" t="s">
        <v>3</v>
      </c>
      <c r="J559" t="str">
        <f t="shared" si="17"/>
        <v>Error: Should be None</v>
      </c>
      <c r="K559">
        <v>4</v>
      </c>
      <c r="L559" s="2">
        <v>113.48</v>
      </c>
      <c r="M559" t="s">
        <v>8</v>
      </c>
    </row>
    <row r="560" spans="1:13" x14ac:dyDescent="0.35">
      <c r="A560">
        <v>559</v>
      </c>
      <c r="B560">
        <v>5</v>
      </c>
      <c r="C560" t="str">
        <f>IF(Hospital[[#This Row],[Age]]&lt;=12,"Child",
IF(Hospital[[#This Row],[Age]]&lt;=19,"Teen",
IF(Hospital[[#This Row],[Age]]&lt;=35,"Young Adult",
IF(Hospital[[#This Row],[Age]]&lt;=59,"Adult",
"Senior"))))</f>
        <v>Child</v>
      </c>
      <c r="D560" t="s">
        <v>0</v>
      </c>
      <c r="E560" s="1">
        <v>45556</v>
      </c>
      <c r="F560" s="1" t="str">
        <f t="shared" si="16"/>
        <v>September</v>
      </c>
      <c r="G560" t="s">
        <v>1</v>
      </c>
      <c r="H560" t="s">
        <v>17</v>
      </c>
      <c r="I560" t="s">
        <v>15</v>
      </c>
      <c r="J560" t="str">
        <f t="shared" si="17"/>
        <v>Error: Should be None</v>
      </c>
      <c r="K560">
        <v>2</v>
      </c>
      <c r="L560" s="2">
        <v>61.68</v>
      </c>
      <c r="M560" t="s">
        <v>16</v>
      </c>
    </row>
    <row r="561" spans="1:13" x14ac:dyDescent="0.35">
      <c r="A561">
        <v>560</v>
      </c>
      <c r="B561">
        <v>51</v>
      </c>
      <c r="C561" t="str">
        <f>IF(Hospital[[#This Row],[Age]]&lt;=12,"Child",
IF(Hospital[[#This Row],[Age]]&lt;=19,"Teen",
IF(Hospital[[#This Row],[Age]]&lt;=35,"Young Adult",
IF(Hospital[[#This Row],[Age]]&lt;=59,"Adult",
"Senior"))))</f>
        <v>Adult</v>
      </c>
      <c r="D561" t="s">
        <v>0</v>
      </c>
      <c r="E561" s="1">
        <v>45336</v>
      </c>
      <c r="F561" s="1" t="str">
        <f t="shared" si="16"/>
        <v>February</v>
      </c>
      <c r="G561" t="s">
        <v>1</v>
      </c>
      <c r="H561" t="s">
        <v>14</v>
      </c>
      <c r="I561" t="s">
        <v>3</v>
      </c>
      <c r="J561" t="str">
        <f t="shared" si="17"/>
        <v>Error: Should be None</v>
      </c>
      <c r="K561">
        <v>0</v>
      </c>
      <c r="L561" s="2">
        <v>373.72</v>
      </c>
      <c r="M561" t="s">
        <v>4</v>
      </c>
    </row>
    <row r="562" spans="1:13" x14ac:dyDescent="0.35">
      <c r="A562">
        <v>561</v>
      </c>
      <c r="B562">
        <v>37</v>
      </c>
      <c r="C562" t="str">
        <f>IF(Hospital[[#This Row],[Age]]&lt;=12,"Child",
IF(Hospital[[#This Row],[Age]]&lt;=19,"Teen",
IF(Hospital[[#This Row],[Age]]&lt;=35,"Young Adult",
IF(Hospital[[#This Row],[Age]]&lt;=59,"Adult",
"Senior"))))</f>
        <v>Adult</v>
      </c>
      <c r="D562" t="s">
        <v>0</v>
      </c>
      <c r="E562" s="1">
        <v>45019</v>
      </c>
      <c r="F562" s="1" t="str">
        <f t="shared" si="16"/>
        <v>April</v>
      </c>
      <c r="G562" t="s">
        <v>19</v>
      </c>
      <c r="H562" t="s">
        <v>9</v>
      </c>
      <c r="I562" t="s">
        <v>3</v>
      </c>
      <c r="J562" t="str">
        <f t="shared" si="17"/>
        <v>Error: Should be None</v>
      </c>
      <c r="K562">
        <v>4</v>
      </c>
      <c r="L562" s="2">
        <v>128.62</v>
      </c>
      <c r="M562" t="s">
        <v>8</v>
      </c>
    </row>
    <row r="563" spans="1:13" x14ac:dyDescent="0.35">
      <c r="A563">
        <v>562</v>
      </c>
      <c r="B563">
        <v>74</v>
      </c>
      <c r="C563" t="str">
        <f>IF(Hospital[[#This Row],[Age]]&lt;=12,"Child",
IF(Hospital[[#This Row],[Age]]&lt;=19,"Teen",
IF(Hospital[[#This Row],[Age]]&lt;=35,"Young Adult",
IF(Hospital[[#This Row],[Age]]&lt;=59,"Adult",
"Senior"))))</f>
        <v>Senior</v>
      </c>
      <c r="D563" t="s">
        <v>5</v>
      </c>
      <c r="E563" s="1">
        <v>45392</v>
      </c>
      <c r="F563" s="1" t="str">
        <f t="shared" si="16"/>
        <v>April</v>
      </c>
      <c r="G563" t="s">
        <v>19</v>
      </c>
      <c r="H563" t="s">
        <v>12</v>
      </c>
      <c r="I563" t="s">
        <v>13</v>
      </c>
      <c r="J563" t="str">
        <f t="shared" si="17"/>
        <v>Error: Should be None</v>
      </c>
      <c r="K563">
        <v>6</v>
      </c>
      <c r="L563" s="2">
        <v>262.99</v>
      </c>
      <c r="M563" t="s">
        <v>4</v>
      </c>
    </row>
    <row r="564" spans="1:13" x14ac:dyDescent="0.35">
      <c r="A564">
        <v>563</v>
      </c>
      <c r="B564">
        <v>44</v>
      </c>
      <c r="C564" t="str">
        <f>IF(Hospital[[#This Row],[Age]]&lt;=12,"Child",
IF(Hospital[[#This Row],[Age]]&lt;=19,"Teen",
IF(Hospital[[#This Row],[Age]]&lt;=35,"Young Adult",
IF(Hospital[[#This Row],[Age]]&lt;=59,"Adult",
"Senior"))))</f>
        <v>Adult</v>
      </c>
      <c r="D564" t="s">
        <v>5</v>
      </c>
      <c r="E564" s="1">
        <v>45442</v>
      </c>
      <c r="F564" s="1" t="str">
        <f t="shared" si="16"/>
        <v>May</v>
      </c>
      <c r="G564" t="s">
        <v>19</v>
      </c>
      <c r="H564" t="s">
        <v>14</v>
      </c>
      <c r="I564" t="s">
        <v>3</v>
      </c>
      <c r="J564" t="str">
        <f t="shared" si="17"/>
        <v>Error: Should be None</v>
      </c>
      <c r="K564">
        <v>9</v>
      </c>
      <c r="L564" s="2">
        <v>140.07</v>
      </c>
      <c r="M564" t="s">
        <v>10</v>
      </c>
    </row>
    <row r="565" spans="1:13" x14ac:dyDescent="0.35">
      <c r="A565">
        <v>564</v>
      </c>
      <c r="B565">
        <v>62</v>
      </c>
      <c r="C565" t="str">
        <f>IF(Hospital[[#This Row],[Age]]&lt;=12,"Child",
IF(Hospital[[#This Row],[Age]]&lt;=19,"Teen",
IF(Hospital[[#This Row],[Age]]&lt;=35,"Young Adult",
IF(Hospital[[#This Row],[Age]]&lt;=59,"Adult",
"Senior"))))</f>
        <v>Senior</v>
      </c>
      <c r="D565" t="s">
        <v>5</v>
      </c>
      <c r="E565" s="1">
        <v>45313</v>
      </c>
      <c r="F565" s="1" t="str">
        <f t="shared" si="16"/>
        <v>January</v>
      </c>
      <c r="G565" t="s">
        <v>19</v>
      </c>
      <c r="H565" t="s">
        <v>9</v>
      </c>
      <c r="I565" t="s">
        <v>3</v>
      </c>
      <c r="J565" t="str">
        <f t="shared" si="17"/>
        <v>Error: Should be None</v>
      </c>
      <c r="K565">
        <v>7</v>
      </c>
      <c r="L565" s="2">
        <v>347.17</v>
      </c>
      <c r="M565" t="s">
        <v>4</v>
      </c>
    </row>
    <row r="566" spans="1:13" x14ac:dyDescent="0.35">
      <c r="A566">
        <v>565</v>
      </c>
      <c r="B566">
        <v>34</v>
      </c>
      <c r="C56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66" t="s">
        <v>5</v>
      </c>
      <c r="E566" s="1">
        <v>45420</v>
      </c>
      <c r="F566" s="1" t="str">
        <f t="shared" si="16"/>
        <v>May</v>
      </c>
      <c r="G566" t="s">
        <v>6</v>
      </c>
      <c r="H566" t="s">
        <v>2</v>
      </c>
      <c r="I566" t="s">
        <v>3</v>
      </c>
      <c r="J566" t="str">
        <f t="shared" si="17"/>
        <v>Error: Should be None</v>
      </c>
      <c r="K566">
        <v>10</v>
      </c>
      <c r="L566" s="2">
        <v>398.55</v>
      </c>
      <c r="M566" t="s">
        <v>8</v>
      </c>
    </row>
    <row r="567" spans="1:13" x14ac:dyDescent="0.35">
      <c r="A567">
        <v>566</v>
      </c>
      <c r="B567">
        <v>30</v>
      </c>
      <c r="C567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67" t="s">
        <v>0</v>
      </c>
      <c r="E567" s="1">
        <v>45620</v>
      </c>
      <c r="F567" s="1" t="str">
        <f t="shared" si="16"/>
        <v>November</v>
      </c>
      <c r="G567" t="s">
        <v>6</v>
      </c>
      <c r="H567" t="s">
        <v>7</v>
      </c>
      <c r="I567" t="s">
        <v>3</v>
      </c>
      <c r="J567" t="str">
        <f t="shared" si="17"/>
        <v>Error: Should be None</v>
      </c>
      <c r="K567">
        <v>5</v>
      </c>
      <c r="L567" s="2">
        <v>267.92</v>
      </c>
      <c r="M567" t="s">
        <v>4</v>
      </c>
    </row>
    <row r="568" spans="1:13" x14ac:dyDescent="0.35">
      <c r="A568">
        <v>567</v>
      </c>
      <c r="B568">
        <v>32</v>
      </c>
      <c r="C56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68" t="s">
        <v>0</v>
      </c>
      <c r="E568" s="1">
        <v>45644</v>
      </c>
      <c r="F568" s="1" t="str">
        <f t="shared" si="16"/>
        <v>December</v>
      </c>
      <c r="G568" t="s">
        <v>11</v>
      </c>
      <c r="H568" t="s">
        <v>14</v>
      </c>
      <c r="I568" t="s">
        <v>20</v>
      </c>
      <c r="J568" t="str">
        <f t="shared" si="17"/>
        <v>Error: Should be None</v>
      </c>
      <c r="K568">
        <v>10</v>
      </c>
      <c r="L568" s="2">
        <v>379.42</v>
      </c>
      <c r="M568" t="s">
        <v>16</v>
      </c>
    </row>
    <row r="569" spans="1:13" x14ac:dyDescent="0.35">
      <c r="A569">
        <v>568</v>
      </c>
      <c r="B569">
        <v>23</v>
      </c>
      <c r="C56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69" t="s">
        <v>0</v>
      </c>
      <c r="E569" s="1">
        <v>45004</v>
      </c>
      <c r="F569" s="1" t="str">
        <f t="shared" si="16"/>
        <v>March</v>
      </c>
      <c r="G569" t="s">
        <v>19</v>
      </c>
      <c r="H569" t="s">
        <v>9</v>
      </c>
      <c r="I569" t="s">
        <v>3</v>
      </c>
      <c r="J569" t="str">
        <f t="shared" si="17"/>
        <v>Error: Should be None</v>
      </c>
      <c r="K569">
        <v>5</v>
      </c>
      <c r="L569" s="2">
        <v>124.91</v>
      </c>
      <c r="M569" t="s">
        <v>16</v>
      </c>
    </row>
    <row r="570" spans="1:13" x14ac:dyDescent="0.35">
      <c r="A570">
        <v>569</v>
      </c>
      <c r="B570">
        <v>25</v>
      </c>
      <c r="C57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70" t="s">
        <v>0</v>
      </c>
      <c r="E570" s="1">
        <v>45114</v>
      </c>
      <c r="F570" s="1" t="str">
        <f t="shared" si="16"/>
        <v>July</v>
      </c>
      <c r="G570" t="s">
        <v>1</v>
      </c>
      <c r="H570" t="s">
        <v>7</v>
      </c>
      <c r="I570" t="s">
        <v>3</v>
      </c>
      <c r="J570" t="str">
        <f t="shared" si="17"/>
        <v>Error: Should be None</v>
      </c>
      <c r="K570">
        <v>3</v>
      </c>
      <c r="L570" s="2">
        <v>373.01</v>
      </c>
      <c r="M570" t="s">
        <v>16</v>
      </c>
    </row>
    <row r="571" spans="1:13" x14ac:dyDescent="0.35">
      <c r="A571">
        <v>570</v>
      </c>
      <c r="B571">
        <v>26</v>
      </c>
      <c r="C57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71" t="s">
        <v>5</v>
      </c>
      <c r="E571" s="1">
        <v>45138</v>
      </c>
      <c r="F571" s="1" t="str">
        <f t="shared" si="16"/>
        <v>July</v>
      </c>
      <c r="G571" t="s">
        <v>19</v>
      </c>
      <c r="H571" t="s">
        <v>17</v>
      </c>
      <c r="I571" t="s">
        <v>13</v>
      </c>
      <c r="J571" t="str">
        <f t="shared" si="17"/>
        <v>Error: Should be None</v>
      </c>
      <c r="K571">
        <v>1</v>
      </c>
      <c r="L571" s="2">
        <v>77.540000000000006</v>
      </c>
      <c r="M571" t="s">
        <v>4</v>
      </c>
    </row>
    <row r="572" spans="1:13" x14ac:dyDescent="0.35">
      <c r="A572">
        <v>571</v>
      </c>
      <c r="B572">
        <v>64</v>
      </c>
      <c r="C572" t="str">
        <f>IF(Hospital[[#This Row],[Age]]&lt;=12,"Child",
IF(Hospital[[#This Row],[Age]]&lt;=19,"Teen",
IF(Hospital[[#This Row],[Age]]&lt;=35,"Young Adult",
IF(Hospital[[#This Row],[Age]]&lt;=59,"Adult",
"Senior"))))</f>
        <v>Senior</v>
      </c>
      <c r="D572" t="s">
        <v>5</v>
      </c>
      <c r="E572" s="1">
        <v>45619</v>
      </c>
      <c r="F572" s="1" t="str">
        <f t="shared" si="16"/>
        <v>November</v>
      </c>
      <c r="G572" t="s">
        <v>11</v>
      </c>
      <c r="H572" t="s">
        <v>7</v>
      </c>
      <c r="I572" t="s">
        <v>3</v>
      </c>
      <c r="J572" t="str">
        <f t="shared" si="17"/>
        <v>Error: Should be None</v>
      </c>
      <c r="K572">
        <v>7</v>
      </c>
      <c r="L572" s="2">
        <v>198.17</v>
      </c>
      <c r="M572" t="s">
        <v>16</v>
      </c>
    </row>
    <row r="573" spans="1:13" x14ac:dyDescent="0.35">
      <c r="A573">
        <v>572</v>
      </c>
      <c r="B573">
        <v>36</v>
      </c>
      <c r="C573" t="str">
        <f>IF(Hospital[[#This Row],[Age]]&lt;=12,"Child",
IF(Hospital[[#This Row],[Age]]&lt;=19,"Teen",
IF(Hospital[[#This Row],[Age]]&lt;=35,"Young Adult",
IF(Hospital[[#This Row],[Age]]&lt;=59,"Adult",
"Senior"))))</f>
        <v>Adult</v>
      </c>
      <c r="D573" t="s">
        <v>0</v>
      </c>
      <c r="E573" s="1">
        <v>45431</v>
      </c>
      <c r="F573" s="1" t="str">
        <f t="shared" si="16"/>
        <v>May</v>
      </c>
      <c r="G573" t="s">
        <v>1</v>
      </c>
      <c r="H573" t="s">
        <v>9</v>
      </c>
      <c r="I573" t="s">
        <v>3</v>
      </c>
      <c r="J573" t="str">
        <f t="shared" si="17"/>
        <v>Error: Should be None</v>
      </c>
      <c r="K573">
        <v>8</v>
      </c>
      <c r="L573" s="2">
        <v>154.53</v>
      </c>
      <c r="M573" t="s">
        <v>8</v>
      </c>
    </row>
    <row r="574" spans="1:13" x14ac:dyDescent="0.35">
      <c r="A574">
        <v>573</v>
      </c>
      <c r="B574">
        <v>7</v>
      </c>
      <c r="C574" t="str">
        <f>IF(Hospital[[#This Row],[Age]]&lt;=12,"Child",
IF(Hospital[[#This Row],[Age]]&lt;=19,"Teen",
IF(Hospital[[#This Row],[Age]]&lt;=35,"Young Adult",
IF(Hospital[[#This Row],[Age]]&lt;=59,"Adult",
"Senior"))))</f>
        <v>Child</v>
      </c>
      <c r="D574" t="s">
        <v>0</v>
      </c>
      <c r="E574" s="1">
        <v>45517</v>
      </c>
      <c r="F574" s="1" t="str">
        <f t="shared" si="16"/>
        <v>August</v>
      </c>
      <c r="G574" t="s">
        <v>6</v>
      </c>
      <c r="H574" t="s">
        <v>17</v>
      </c>
      <c r="I574" t="s">
        <v>3</v>
      </c>
      <c r="J574" t="str">
        <f t="shared" si="17"/>
        <v>Error: Should be None</v>
      </c>
      <c r="K574">
        <v>0</v>
      </c>
      <c r="L574" s="2">
        <v>261.19</v>
      </c>
      <c r="M574" t="s">
        <v>10</v>
      </c>
    </row>
    <row r="575" spans="1:13" x14ac:dyDescent="0.35">
      <c r="A575">
        <v>574</v>
      </c>
      <c r="B575">
        <v>59</v>
      </c>
      <c r="C575" t="str">
        <f>IF(Hospital[[#This Row],[Age]]&lt;=12,"Child",
IF(Hospital[[#This Row],[Age]]&lt;=19,"Teen",
IF(Hospital[[#This Row],[Age]]&lt;=35,"Young Adult",
IF(Hospital[[#This Row],[Age]]&lt;=59,"Adult",
"Senior"))))</f>
        <v>Adult</v>
      </c>
      <c r="D575" t="s">
        <v>5</v>
      </c>
      <c r="E575" s="1">
        <v>45629</v>
      </c>
      <c r="F575" s="1" t="str">
        <f t="shared" si="16"/>
        <v>December</v>
      </c>
      <c r="G575" t="s">
        <v>6</v>
      </c>
      <c r="H575" t="s">
        <v>17</v>
      </c>
      <c r="I575" t="s">
        <v>18</v>
      </c>
      <c r="J575" t="str">
        <f t="shared" si="17"/>
        <v>Error: Should be None</v>
      </c>
      <c r="K575">
        <v>0</v>
      </c>
      <c r="L575" s="2">
        <v>25.67</v>
      </c>
      <c r="M575" t="s">
        <v>8</v>
      </c>
    </row>
    <row r="576" spans="1:13" x14ac:dyDescent="0.35">
      <c r="A576">
        <v>575</v>
      </c>
      <c r="B576">
        <v>13</v>
      </c>
      <c r="C576" t="str">
        <f>IF(Hospital[[#This Row],[Age]]&lt;=12,"Child",
IF(Hospital[[#This Row],[Age]]&lt;=19,"Teen",
IF(Hospital[[#This Row],[Age]]&lt;=35,"Young Adult",
IF(Hospital[[#This Row],[Age]]&lt;=59,"Adult",
"Senior"))))</f>
        <v>Teen</v>
      </c>
      <c r="D576" t="s">
        <v>0</v>
      </c>
      <c r="E576" s="1">
        <v>45315</v>
      </c>
      <c r="F576" s="1" t="str">
        <f t="shared" si="16"/>
        <v>January</v>
      </c>
      <c r="G576" t="s">
        <v>19</v>
      </c>
      <c r="H576" t="s">
        <v>9</v>
      </c>
      <c r="I576" t="s">
        <v>3</v>
      </c>
      <c r="J576" t="str">
        <f t="shared" si="17"/>
        <v>Error: Should be None</v>
      </c>
      <c r="K576">
        <v>9</v>
      </c>
      <c r="L576" s="2">
        <v>433.68</v>
      </c>
      <c r="M576" t="s">
        <v>8</v>
      </c>
    </row>
    <row r="577" spans="1:13" x14ac:dyDescent="0.35">
      <c r="A577">
        <v>576</v>
      </c>
      <c r="B577">
        <v>31</v>
      </c>
      <c r="C577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77" t="s">
        <v>0</v>
      </c>
      <c r="E577" s="1">
        <v>45488</v>
      </c>
      <c r="F577" s="1" t="str">
        <f t="shared" si="16"/>
        <v>July</v>
      </c>
      <c r="G577" t="s">
        <v>6</v>
      </c>
      <c r="H577" t="s">
        <v>14</v>
      </c>
      <c r="I577" t="s">
        <v>3</v>
      </c>
      <c r="J577" t="str">
        <f t="shared" si="17"/>
        <v>Error: Should be None</v>
      </c>
      <c r="K577">
        <v>5</v>
      </c>
      <c r="L577" s="2">
        <v>195.64</v>
      </c>
      <c r="M577" t="s">
        <v>10</v>
      </c>
    </row>
    <row r="578" spans="1:13" x14ac:dyDescent="0.35">
      <c r="A578">
        <v>577</v>
      </c>
      <c r="B578">
        <v>54</v>
      </c>
      <c r="C578" t="str">
        <f>IF(Hospital[[#This Row],[Age]]&lt;=12,"Child",
IF(Hospital[[#This Row],[Age]]&lt;=19,"Teen",
IF(Hospital[[#This Row],[Age]]&lt;=35,"Young Adult",
IF(Hospital[[#This Row],[Age]]&lt;=59,"Adult",
"Senior"))))</f>
        <v>Adult</v>
      </c>
      <c r="D578" t="s">
        <v>0</v>
      </c>
      <c r="E578" s="1">
        <v>45361</v>
      </c>
      <c r="F578" s="1" t="str">
        <f t="shared" si="16"/>
        <v>March</v>
      </c>
      <c r="G578" t="s">
        <v>19</v>
      </c>
      <c r="H578" t="s">
        <v>17</v>
      </c>
      <c r="I578" t="s">
        <v>20</v>
      </c>
      <c r="J578" t="str">
        <f t="shared" si="17"/>
        <v>Error: Should be None</v>
      </c>
      <c r="K578">
        <v>4</v>
      </c>
      <c r="L578" s="2">
        <v>236.35</v>
      </c>
      <c r="M578" t="s">
        <v>8</v>
      </c>
    </row>
    <row r="579" spans="1:13" x14ac:dyDescent="0.35">
      <c r="A579">
        <v>578</v>
      </c>
      <c r="B579">
        <v>30</v>
      </c>
      <c r="C57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79" t="s">
        <v>5</v>
      </c>
      <c r="E579" s="1">
        <v>45516</v>
      </c>
      <c r="F579" s="1" t="str">
        <f t="shared" ref="F579:F642" si="18">TEXT(E579, "mmmm")</f>
        <v>August</v>
      </c>
      <c r="G579" t="s">
        <v>19</v>
      </c>
      <c r="H579" t="s">
        <v>7</v>
      </c>
      <c r="I579" t="s">
        <v>3</v>
      </c>
      <c r="J579" t="str">
        <f t="shared" ref="J579:J642" si="19">IF(OR(G579="UTI", G579="Pneumonia", G579="Typhoid"),
   IF(H579="None","Error: Should have antibiotics","OK"),
   IF(H579&lt;&gt;"None","Error: Should be None","OK"))</f>
        <v>Error: Should be None</v>
      </c>
      <c r="K579">
        <v>3</v>
      </c>
      <c r="L579" s="2">
        <v>286.56</v>
      </c>
      <c r="M579" t="s">
        <v>10</v>
      </c>
    </row>
    <row r="580" spans="1:13" x14ac:dyDescent="0.35">
      <c r="A580">
        <v>579</v>
      </c>
      <c r="B580">
        <v>20</v>
      </c>
      <c r="C58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80" t="s">
        <v>0</v>
      </c>
      <c r="E580" s="1">
        <v>45127</v>
      </c>
      <c r="F580" s="1" t="str">
        <f t="shared" si="18"/>
        <v>July</v>
      </c>
      <c r="G580" t="s">
        <v>11</v>
      </c>
      <c r="H580" t="s">
        <v>17</v>
      </c>
      <c r="I580" t="s">
        <v>13</v>
      </c>
      <c r="J580" t="str">
        <f t="shared" si="19"/>
        <v>Error: Should be None</v>
      </c>
      <c r="K580">
        <v>6</v>
      </c>
      <c r="L580" s="2">
        <v>259.81</v>
      </c>
      <c r="M580" t="s">
        <v>16</v>
      </c>
    </row>
    <row r="581" spans="1:13" x14ac:dyDescent="0.35">
      <c r="A581">
        <v>580</v>
      </c>
      <c r="B581">
        <v>33</v>
      </c>
      <c r="C58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81" t="s">
        <v>5</v>
      </c>
      <c r="E581" s="1">
        <v>45425</v>
      </c>
      <c r="F581" s="1" t="str">
        <f t="shared" si="18"/>
        <v>May</v>
      </c>
      <c r="G581" t="s">
        <v>6</v>
      </c>
      <c r="H581" t="s">
        <v>14</v>
      </c>
      <c r="I581" t="s">
        <v>15</v>
      </c>
      <c r="J581" t="str">
        <f t="shared" si="19"/>
        <v>Error: Should be None</v>
      </c>
      <c r="K581">
        <v>2</v>
      </c>
      <c r="L581" s="2">
        <v>48.82</v>
      </c>
      <c r="M581" t="s">
        <v>16</v>
      </c>
    </row>
    <row r="582" spans="1:13" x14ac:dyDescent="0.35">
      <c r="A582">
        <v>581</v>
      </c>
      <c r="B582">
        <v>13</v>
      </c>
      <c r="C582" t="str">
        <f>IF(Hospital[[#This Row],[Age]]&lt;=12,"Child",
IF(Hospital[[#This Row],[Age]]&lt;=19,"Teen",
IF(Hospital[[#This Row],[Age]]&lt;=35,"Young Adult",
IF(Hospital[[#This Row],[Age]]&lt;=59,"Adult",
"Senior"))))</f>
        <v>Teen</v>
      </c>
      <c r="D582" t="s">
        <v>0</v>
      </c>
      <c r="E582" s="1">
        <v>45414</v>
      </c>
      <c r="F582" s="1" t="str">
        <f t="shared" si="18"/>
        <v>May</v>
      </c>
      <c r="G582" t="s">
        <v>19</v>
      </c>
      <c r="H582" t="s">
        <v>7</v>
      </c>
      <c r="I582" t="s">
        <v>3</v>
      </c>
      <c r="J582" t="str">
        <f t="shared" si="19"/>
        <v>Error: Should be None</v>
      </c>
      <c r="K582">
        <v>4</v>
      </c>
      <c r="L582" s="2">
        <v>193.26</v>
      </c>
      <c r="M582" t="s">
        <v>16</v>
      </c>
    </row>
    <row r="583" spans="1:13" x14ac:dyDescent="0.35">
      <c r="A583">
        <v>582</v>
      </c>
      <c r="B583">
        <v>53</v>
      </c>
      <c r="C583" t="str">
        <f>IF(Hospital[[#This Row],[Age]]&lt;=12,"Child",
IF(Hospital[[#This Row],[Age]]&lt;=19,"Teen",
IF(Hospital[[#This Row],[Age]]&lt;=35,"Young Adult",
IF(Hospital[[#This Row],[Age]]&lt;=59,"Adult",
"Senior"))))</f>
        <v>Adult</v>
      </c>
      <c r="D583" t="s">
        <v>5</v>
      </c>
      <c r="E583" s="1">
        <v>45279</v>
      </c>
      <c r="F583" s="1" t="str">
        <f t="shared" si="18"/>
        <v>December</v>
      </c>
      <c r="G583" t="s">
        <v>19</v>
      </c>
      <c r="H583" t="s">
        <v>2</v>
      </c>
      <c r="I583" t="s">
        <v>3</v>
      </c>
      <c r="J583" t="str">
        <f t="shared" si="19"/>
        <v>Error: Should be None</v>
      </c>
      <c r="K583">
        <v>10</v>
      </c>
      <c r="L583" s="2">
        <v>482.3</v>
      </c>
      <c r="M583" t="s">
        <v>8</v>
      </c>
    </row>
    <row r="584" spans="1:13" x14ac:dyDescent="0.35">
      <c r="A584">
        <v>583</v>
      </c>
      <c r="B584">
        <v>84</v>
      </c>
      <c r="C584" t="str">
        <f>IF(Hospital[[#This Row],[Age]]&lt;=12,"Child",
IF(Hospital[[#This Row],[Age]]&lt;=19,"Teen",
IF(Hospital[[#This Row],[Age]]&lt;=35,"Young Adult",
IF(Hospital[[#This Row],[Age]]&lt;=59,"Adult",
"Senior"))))</f>
        <v>Senior</v>
      </c>
      <c r="D584" t="s">
        <v>5</v>
      </c>
      <c r="E584" s="1">
        <v>45517</v>
      </c>
      <c r="F584" s="1" t="str">
        <f t="shared" si="18"/>
        <v>August</v>
      </c>
      <c r="G584" t="s">
        <v>19</v>
      </c>
      <c r="H584" t="s">
        <v>9</v>
      </c>
      <c r="I584" t="s">
        <v>3</v>
      </c>
      <c r="J584" t="str">
        <f t="shared" si="19"/>
        <v>Error: Should be None</v>
      </c>
      <c r="K584">
        <v>5</v>
      </c>
      <c r="L584" s="2">
        <v>176.04</v>
      </c>
      <c r="M584" t="s">
        <v>10</v>
      </c>
    </row>
    <row r="585" spans="1:13" x14ac:dyDescent="0.35">
      <c r="A585">
        <v>584</v>
      </c>
      <c r="B585">
        <v>49</v>
      </c>
      <c r="C585" t="str">
        <f>IF(Hospital[[#This Row],[Age]]&lt;=12,"Child",
IF(Hospital[[#This Row],[Age]]&lt;=19,"Teen",
IF(Hospital[[#This Row],[Age]]&lt;=35,"Young Adult",
IF(Hospital[[#This Row],[Age]]&lt;=59,"Adult",
"Senior"))))</f>
        <v>Adult</v>
      </c>
      <c r="D585" t="s">
        <v>0</v>
      </c>
      <c r="E585" s="1">
        <v>45384</v>
      </c>
      <c r="F585" s="1" t="str">
        <f t="shared" si="18"/>
        <v>April</v>
      </c>
      <c r="G585" t="s">
        <v>6</v>
      </c>
      <c r="H585" t="s">
        <v>2</v>
      </c>
      <c r="I585" t="s">
        <v>3</v>
      </c>
      <c r="J585" t="str">
        <f t="shared" si="19"/>
        <v>Error: Should be None</v>
      </c>
      <c r="K585">
        <v>10</v>
      </c>
      <c r="L585" s="2">
        <v>479.17</v>
      </c>
      <c r="M585" t="s">
        <v>8</v>
      </c>
    </row>
    <row r="586" spans="1:13" x14ac:dyDescent="0.35">
      <c r="A586">
        <v>585</v>
      </c>
      <c r="B586">
        <v>54</v>
      </c>
      <c r="C586" t="str">
        <f>IF(Hospital[[#This Row],[Age]]&lt;=12,"Child",
IF(Hospital[[#This Row],[Age]]&lt;=19,"Teen",
IF(Hospital[[#This Row],[Age]]&lt;=35,"Young Adult",
IF(Hospital[[#This Row],[Age]]&lt;=59,"Adult",
"Senior"))))</f>
        <v>Adult</v>
      </c>
      <c r="D586" t="s">
        <v>0</v>
      </c>
      <c r="E586" s="1">
        <v>45582</v>
      </c>
      <c r="F586" s="1" t="str">
        <f t="shared" si="18"/>
        <v>October</v>
      </c>
      <c r="G586" t="s">
        <v>11</v>
      </c>
      <c r="H586" t="s">
        <v>14</v>
      </c>
      <c r="I586" t="s">
        <v>15</v>
      </c>
      <c r="J586" t="str">
        <f t="shared" si="19"/>
        <v>Error: Should be None</v>
      </c>
      <c r="K586">
        <v>2</v>
      </c>
      <c r="L586" s="2">
        <v>184.94</v>
      </c>
      <c r="M586" t="s">
        <v>16</v>
      </c>
    </row>
    <row r="587" spans="1:13" x14ac:dyDescent="0.35">
      <c r="A587">
        <v>586</v>
      </c>
      <c r="B587">
        <v>38</v>
      </c>
      <c r="C587" t="str">
        <f>IF(Hospital[[#This Row],[Age]]&lt;=12,"Child",
IF(Hospital[[#This Row],[Age]]&lt;=19,"Teen",
IF(Hospital[[#This Row],[Age]]&lt;=35,"Young Adult",
IF(Hospital[[#This Row],[Age]]&lt;=59,"Adult",
"Senior"))))</f>
        <v>Adult</v>
      </c>
      <c r="D587" t="s">
        <v>0</v>
      </c>
      <c r="E587" s="1">
        <v>45251</v>
      </c>
      <c r="F587" s="1" t="str">
        <f t="shared" si="18"/>
        <v>November</v>
      </c>
      <c r="G587" t="s">
        <v>6</v>
      </c>
      <c r="H587" t="s">
        <v>7</v>
      </c>
      <c r="I587" t="s">
        <v>3</v>
      </c>
      <c r="J587" t="str">
        <f t="shared" si="19"/>
        <v>Error: Should be None</v>
      </c>
      <c r="K587">
        <v>4</v>
      </c>
      <c r="L587" s="2">
        <v>446.09</v>
      </c>
      <c r="M587" t="s">
        <v>16</v>
      </c>
    </row>
    <row r="588" spans="1:13" x14ac:dyDescent="0.35">
      <c r="A588">
        <v>587</v>
      </c>
      <c r="B588">
        <v>58</v>
      </c>
      <c r="C588" t="str">
        <f>IF(Hospital[[#This Row],[Age]]&lt;=12,"Child",
IF(Hospital[[#This Row],[Age]]&lt;=19,"Teen",
IF(Hospital[[#This Row],[Age]]&lt;=35,"Young Adult",
IF(Hospital[[#This Row],[Age]]&lt;=59,"Adult",
"Senior"))))</f>
        <v>Adult</v>
      </c>
      <c r="D588" t="s">
        <v>0</v>
      </c>
      <c r="E588" s="1">
        <v>45528</v>
      </c>
      <c r="F588" s="1" t="str">
        <f t="shared" si="18"/>
        <v>August</v>
      </c>
      <c r="G588" t="s">
        <v>1</v>
      </c>
      <c r="H588" t="s">
        <v>9</v>
      </c>
      <c r="I588" t="s">
        <v>3</v>
      </c>
      <c r="J588" t="str">
        <f t="shared" si="19"/>
        <v>Error: Should be None</v>
      </c>
      <c r="K588">
        <v>2</v>
      </c>
      <c r="L588" s="2">
        <v>430.02</v>
      </c>
      <c r="M588" t="s">
        <v>8</v>
      </c>
    </row>
    <row r="589" spans="1:13" x14ac:dyDescent="0.35">
      <c r="A589">
        <v>588</v>
      </c>
      <c r="B589">
        <v>33</v>
      </c>
      <c r="C58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89" t="s">
        <v>5</v>
      </c>
      <c r="E589" s="1">
        <v>45167</v>
      </c>
      <c r="F589" s="1" t="str">
        <f t="shared" si="18"/>
        <v>August</v>
      </c>
      <c r="G589" t="s">
        <v>1</v>
      </c>
      <c r="H589" t="s">
        <v>7</v>
      </c>
      <c r="I589" t="s">
        <v>3</v>
      </c>
      <c r="J589" t="str">
        <f t="shared" si="19"/>
        <v>Error: Should be None</v>
      </c>
      <c r="K589">
        <v>2</v>
      </c>
      <c r="L589" s="2">
        <v>210.58</v>
      </c>
      <c r="M589" t="s">
        <v>4</v>
      </c>
    </row>
    <row r="590" spans="1:13" x14ac:dyDescent="0.35">
      <c r="A590">
        <v>589</v>
      </c>
      <c r="B590">
        <v>71</v>
      </c>
      <c r="C590" t="str">
        <f>IF(Hospital[[#This Row],[Age]]&lt;=12,"Child",
IF(Hospital[[#This Row],[Age]]&lt;=19,"Teen",
IF(Hospital[[#This Row],[Age]]&lt;=35,"Young Adult",
IF(Hospital[[#This Row],[Age]]&lt;=59,"Adult",
"Senior"))))</f>
        <v>Senior</v>
      </c>
      <c r="D590" t="s">
        <v>5</v>
      </c>
      <c r="E590" s="1">
        <v>44992</v>
      </c>
      <c r="F590" s="1" t="str">
        <f t="shared" si="18"/>
        <v>March</v>
      </c>
      <c r="G590" t="s">
        <v>11</v>
      </c>
      <c r="H590" t="s">
        <v>12</v>
      </c>
      <c r="I590" t="s">
        <v>20</v>
      </c>
      <c r="J590" t="str">
        <f t="shared" si="19"/>
        <v>Error: Should be None</v>
      </c>
      <c r="K590">
        <v>8</v>
      </c>
      <c r="L590" s="2">
        <v>387.2</v>
      </c>
      <c r="M590" t="s">
        <v>4</v>
      </c>
    </row>
    <row r="591" spans="1:13" x14ac:dyDescent="0.35">
      <c r="A591">
        <v>590</v>
      </c>
      <c r="B591">
        <v>80</v>
      </c>
      <c r="C591" t="str">
        <f>IF(Hospital[[#This Row],[Age]]&lt;=12,"Child",
IF(Hospital[[#This Row],[Age]]&lt;=19,"Teen",
IF(Hospital[[#This Row],[Age]]&lt;=35,"Young Adult",
IF(Hospital[[#This Row],[Age]]&lt;=59,"Adult",
"Senior"))))</f>
        <v>Senior</v>
      </c>
      <c r="D591" t="s">
        <v>5</v>
      </c>
      <c r="E591" s="1">
        <v>45033</v>
      </c>
      <c r="F591" s="1" t="str">
        <f t="shared" si="18"/>
        <v>April</v>
      </c>
      <c r="G591" t="s">
        <v>11</v>
      </c>
      <c r="H591" t="s">
        <v>14</v>
      </c>
      <c r="I591" t="s">
        <v>20</v>
      </c>
      <c r="J591" t="str">
        <f t="shared" si="19"/>
        <v>Error: Should be None</v>
      </c>
      <c r="K591">
        <v>4</v>
      </c>
      <c r="L591" s="2">
        <v>130.09</v>
      </c>
      <c r="M591" t="s">
        <v>16</v>
      </c>
    </row>
    <row r="592" spans="1:13" x14ac:dyDescent="0.35">
      <c r="A592">
        <v>591</v>
      </c>
      <c r="B592">
        <v>17</v>
      </c>
      <c r="C592" t="str">
        <f>IF(Hospital[[#This Row],[Age]]&lt;=12,"Child",
IF(Hospital[[#This Row],[Age]]&lt;=19,"Teen",
IF(Hospital[[#This Row],[Age]]&lt;=35,"Young Adult",
IF(Hospital[[#This Row],[Age]]&lt;=59,"Adult",
"Senior"))))</f>
        <v>Teen</v>
      </c>
      <c r="D592" t="s">
        <v>5</v>
      </c>
      <c r="E592" s="1">
        <v>45380</v>
      </c>
      <c r="F592" s="1" t="str">
        <f t="shared" si="18"/>
        <v>March</v>
      </c>
      <c r="G592" t="s">
        <v>1</v>
      </c>
      <c r="H592" t="s">
        <v>7</v>
      </c>
      <c r="I592" t="s">
        <v>3</v>
      </c>
      <c r="J592" t="str">
        <f t="shared" si="19"/>
        <v>Error: Should be None</v>
      </c>
      <c r="K592">
        <v>0</v>
      </c>
      <c r="L592" s="2">
        <v>36.869999999999997</v>
      </c>
      <c r="M592" t="s">
        <v>16</v>
      </c>
    </row>
    <row r="593" spans="1:13" x14ac:dyDescent="0.35">
      <c r="A593">
        <v>592</v>
      </c>
      <c r="B593">
        <v>60</v>
      </c>
      <c r="C593" t="str">
        <f>IF(Hospital[[#This Row],[Age]]&lt;=12,"Child",
IF(Hospital[[#This Row],[Age]]&lt;=19,"Teen",
IF(Hospital[[#This Row],[Age]]&lt;=35,"Young Adult",
IF(Hospital[[#This Row],[Age]]&lt;=59,"Adult",
"Senior"))))</f>
        <v>Senior</v>
      </c>
      <c r="D593" t="s">
        <v>0</v>
      </c>
      <c r="E593" s="1">
        <v>45260</v>
      </c>
      <c r="F593" s="1" t="str">
        <f t="shared" si="18"/>
        <v>November</v>
      </c>
      <c r="G593" t="s">
        <v>6</v>
      </c>
      <c r="H593" t="s">
        <v>12</v>
      </c>
      <c r="I593" t="s">
        <v>13</v>
      </c>
      <c r="J593" t="str">
        <f t="shared" si="19"/>
        <v>Error: Should be None</v>
      </c>
      <c r="K593">
        <v>8</v>
      </c>
      <c r="L593" s="2">
        <v>104.98</v>
      </c>
      <c r="M593" t="s">
        <v>10</v>
      </c>
    </row>
    <row r="594" spans="1:13" x14ac:dyDescent="0.35">
      <c r="A594">
        <v>593</v>
      </c>
      <c r="B594">
        <v>82</v>
      </c>
      <c r="C594" t="str">
        <f>IF(Hospital[[#This Row],[Age]]&lt;=12,"Child",
IF(Hospital[[#This Row],[Age]]&lt;=19,"Teen",
IF(Hospital[[#This Row],[Age]]&lt;=35,"Young Adult",
IF(Hospital[[#This Row],[Age]]&lt;=59,"Adult",
"Senior"))))</f>
        <v>Senior</v>
      </c>
      <c r="D594" t="s">
        <v>0</v>
      </c>
      <c r="E594" s="1">
        <v>45573</v>
      </c>
      <c r="F594" s="1" t="str">
        <f t="shared" si="18"/>
        <v>October</v>
      </c>
      <c r="G594" t="s">
        <v>19</v>
      </c>
      <c r="H594" t="s">
        <v>7</v>
      </c>
      <c r="I594" t="s">
        <v>3</v>
      </c>
      <c r="J594" t="str">
        <f t="shared" si="19"/>
        <v>Error: Should be None</v>
      </c>
      <c r="K594">
        <v>5</v>
      </c>
      <c r="L594" s="2">
        <v>251.19</v>
      </c>
      <c r="M594" t="s">
        <v>8</v>
      </c>
    </row>
    <row r="595" spans="1:13" x14ac:dyDescent="0.35">
      <c r="A595">
        <v>594</v>
      </c>
      <c r="B595">
        <v>40</v>
      </c>
      <c r="C595" t="str">
        <f>IF(Hospital[[#This Row],[Age]]&lt;=12,"Child",
IF(Hospital[[#This Row],[Age]]&lt;=19,"Teen",
IF(Hospital[[#This Row],[Age]]&lt;=35,"Young Adult",
IF(Hospital[[#This Row],[Age]]&lt;=59,"Adult",
"Senior"))))</f>
        <v>Adult</v>
      </c>
      <c r="D595" t="s">
        <v>0</v>
      </c>
      <c r="E595" s="1">
        <v>45018</v>
      </c>
      <c r="F595" s="1" t="str">
        <f t="shared" si="18"/>
        <v>April</v>
      </c>
      <c r="G595" t="s">
        <v>6</v>
      </c>
      <c r="H595" t="s">
        <v>12</v>
      </c>
      <c r="I595" t="s">
        <v>18</v>
      </c>
      <c r="J595" t="str">
        <f t="shared" si="19"/>
        <v>Error: Should be None</v>
      </c>
      <c r="K595">
        <v>2</v>
      </c>
      <c r="L595" s="2">
        <v>165.71</v>
      </c>
      <c r="M595" t="s">
        <v>4</v>
      </c>
    </row>
    <row r="596" spans="1:13" x14ac:dyDescent="0.35">
      <c r="A596">
        <v>595</v>
      </c>
      <c r="B596">
        <v>45</v>
      </c>
      <c r="C596" t="str">
        <f>IF(Hospital[[#This Row],[Age]]&lt;=12,"Child",
IF(Hospital[[#This Row],[Age]]&lt;=19,"Teen",
IF(Hospital[[#This Row],[Age]]&lt;=35,"Young Adult",
IF(Hospital[[#This Row],[Age]]&lt;=59,"Adult",
"Senior"))))</f>
        <v>Adult</v>
      </c>
      <c r="D596" t="s">
        <v>0</v>
      </c>
      <c r="E596" s="1">
        <v>45462</v>
      </c>
      <c r="F596" s="1" t="str">
        <f t="shared" si="18"/>
        <v>June</v>
      </c>
      <c r="G596" t="s">
        <v>6</v>
      </c>
      <c r="H596" t="s">
        <v>17</v>
      </c>
      <c r="I596" t="s">
        <v>3</v>
      </c>
      <c r="J596" t="str">
        <f t="shared" si="19"/>
        <v>Error: Should be None</v>
      </c>
      <c r="K596">
        <v>0</v>
      </c>
      <c r="L596" s="2">
        <v>350.13</v>
      </c>
      <c r="M596" t="s">
        <v>10</v>
      </c>
    </row>
    <row r="597" spans="1:13" x14ac:dyDescent="0.35">
      <c r="A597">
        <v>596</v>
      </c>
      <c r="B597">
        <v>2</v>
      </c>
      <c r="C597" t="str">
        <f>IF(Hospital[[#This Row],[Age]]&lt;=12,"Child",
IF(Hospital[[#This Row],[Age]]&lt;=19,"Teen",
IF(Hospital[[#This Row],[Age]]&lt;=35,"Young Adult",
IF(Hospital[[#This Row],[Age]]&lt;=59,"Adult",
"Senior"))))</f>
        <v>Child</v>
      </c>
      <c r="D597" t="s">
        <v>0</v>
      </c>
      <c r="E597" s="1">
        <v>45415</v>
      </c>
      <c r="F597" s="1" t="str">
        <f t="shared" si="18"/>
        <v>May</v>
      </c>
      <c r="G597" t="s">
        <v>19</v>
      </c>
      <c r="H597" t="s">
        <v>14</v>
      </c>
      <c r="I597" t="s">
        <v>3</v>
      </c>
      <c r="J597" t="str">
        <f t="shared" si="19"/>
        <v>Error: Should be None</v>
      </c>
      <c r="K597">
        <v>3</v>
      </c>
      <c r="L597" s="2">
        <v>402.45</v>
      </c>
      <c r="M597" t="s">
        <v>16</v>
      </c>
    </row>
    <row r="598" spans="1:13" x14ac:dyDescent="0.35">
      <c r="A598">
        <v>597</v>
      </c>
      <c r="B598">
        <v>72</v>
      </c>
      <c r="C598" t="str">
        <f>IF(Hospital[[#This Row],[Age]]&lt;=12,"Child",
IF(Hospital[[#This Row],[Age]]&lt;=19,"Teen",
IF(Hospital[[#This Row],[Age]]&lt;=35,"Young Adult",
IF(Hospital[[#This Row],[Age]]&lt;=59,"Adult",
"Senior"))))</f>
        <v>Senior</v>
      </c>
      <c r="D598" t="s">
        <v>0</v>
      </c>
      <c r="E598" s="1">
        <v>45120</v>
      </c>
      <c r="F598" s="1" t="str">
        <f t="shared" si="18"/>
        <v>July</v>
      </c>
      <c r="G598" t="s">
        <v>6</v>
      </c>
      <c r="H598" t="s">
        <v>12</v>
      </c>
      <c r="I598" t="s">
        <v>13</v>
      </c>
      <c r="J598" t="str">
        <f t="shared" si="19"/>
        <v>Error: Should be None</v>
      </c>
      <c r="K598">
        <v>2</v>
      </c>
      <c r="L598" s="2">
        <v>363.17</v>
      </c>
      <c r="M598" t="s">
        <v>10</v>
      </c>
    </row>
    <row r="599" spans="1:13" x14ac:dyDescent="0.35">
      <c r="A599">
        <v>598</v>
      </c>
      <c r="B599">
        <v>34</v>
      </c>
      <c r="C59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599" t="s">
        <v>5</v>
      </c>
      <c r="E599" s="1">
        <v>45314</v>
      </c>
      <c r="F599" s="1" t="str">
        <f t="shared" si="18"/>
        <v>January</v>
      </c>
      <c r="G599" t="s">
        <v>6</v>
      </c>
      <c r="H599" t="s">
        <v>17</v>
      </c>
      <c r="I599" t="s">
        <v>13</v>
      </c>
      <c r="J599" t="str">
        <f t="shared" si="19"/>
        <v>Error: Should be None</v>
      </c>
      <c r="K599">
        <v>8</v>
      </c>
      <c r="L599" s="2">
        <v>386.98</v>
      </c>
      <c r="M599" t="s">
        <v>16</v>
      </c>
    </row>
    <row r="600" spans="1:13" x14ac:dyDescent="0.35">
      <c r="A600">
        <v>599</v>
      </c>
      <c r="B600">
        <v>69</v>
      </c>
      <c r="C600" t="str">
        <f>IF(Hospital[[#This Row],[Age]]&lt;=12,"Child",
IF(Hospital[[#This Row],[Age]]&lt;=19,"Teen",
IF(Hospital[[#This Row],[Age]]&lt;=35,"Young Adult",
IF(Hospital[[#This Row],[Age]]&lt;=59,"Adult",
"Senior"))))</f>
        <v>Senior</v>
      </c>
      <c r="D600" t="s">
        <v>0</v>
      </c>
      <c r="E600" s="1">
        <v>45218</v>
      </c>
      <c r="F600" s="1" t="str">
        <f t="shared" si="18"/>
        <v>October</v>
      </c>
      <c r="G600" t="s">
        <v>6</v>
      </c>
      <c r="H600" t="s">
        <v>7</v>
      </c>
      <c r="I600" t="s">
        <v>3</v>
      </c>
      <c r="J600" t="str">
        <f t="shared" si="19"/>
        <v>Error: Should be None</v>
      </c>
      <c r="K600">
        <v>3</v>
      </c>
      <c r="L600" s="2">
        <v>429.67</v>
      </c>
      <c r="M600" t="s">
        <v>8</v>
      </c>
    </row>
    <row r="601" spans="1:13" x14ac:dyDescent="0.35">
      <c r="A601">
        <v>600</v>
      </c>
      <c r="B601">
        <v>15</v>
      </c>
      <c r="C601" t="str">
        <f>IF(Hospital[[#This Row],[Age]]&lt;=12,"Child",
IF(Hospital[[#This Row],[Age]]&lt;=19,"Teen",
IF(Hospital[[#This Row],[Age]]&lt;=35,"Young Adult",
IF(Hospital[[#This Row],[Age]]&lt;=59,"Adult",
"Senior"))))</f>
        <v>Teen</v>
      </c>
      <c r="D601" t="s">
        <v>0</v>
      </c>
      <c r="E601" s="1">
        <v>45066</v>
      </c>
      <c r="F601" s="1" t="str">
        <f t="shared" si="18"/>
        <v>May</v>
      </c>
      <c r="G601" t="s">
        <v>6</v>
      </c>
      <c r="H601" t="s">
        <v>14</v>
      </c>
      <c r="I601" t="s">
        <v>18</v>
      </c>
      <c r="J601" t="str">
        <f t="shared" si="19"/>
        <v>Error: Should be None</v>
      </c>
      <c r="K601">
        <v>9</v>
      </c>
      <c r="L601" s="2">
        <v>256.16000000000003</v>
      </c>
      <c r="M601" t="s">
        <v>16</v>
      </c>
    </row>
    <row r="602" spans="1:13" x14ac:dyDescent="0.35">
      <c r="A602">
        <v>601</v>
      </c>
      <c r="B602">
        <v>7</v>
      </c>
      <c r="C602" t="str">
        <f>IF(Hospital[[#This Row],[Age]]&lt;=12,"Child",
IF(Hospital[[#This Row],[Age]]&lt;=19,"Teen",
IF(Hospital[[#This Row],[Age]]&lt;=35,"Young Adult",
IF(Hospital[[#This Row],[Age]]&lt;=59,"Adult",
"Senior"))))</f>
        <v>Child</v>
      </c>
      <c r="D602" t="s">
        <v>5</v>
      </c>
      <c r="E602" s="1">
        <v>44946</v>
      </c>
      <c r="F602" s="1" t="str">
        <f t="shared" si="18"/>
        <v>January</v>
      </c>
      <c r="G602" t="s">
        <v>1</v>
      </c>
      <c r="H602" t="s">
        <v>17</v>
      </c>
      <c r="I602" t="s">
        <v>15</v>
      </c>
      <c r="J602" t="str">
        <f t="shared" si="19"/>
        <v>Error: Should be None</v>
      </c>
      <c r="K602">
        <v>4</v>
      </c>
      <c r="L602" s="2">
        <v>149.21</v>
      </c>
      <c r="M602" t="s">
        <v>10</v>
      </c>
    </row>
    <row r="603" spans="1:13" x14ac:dyDescent="0.35">
      <c r="A603">
        <v>602</v>
      </c>
      <c r="B603">
        <v>12</v>
      </c>
      <c r="C603" t="str">
        <f>IF(Hospital[[#This Row],[Age]]&lt;=12,"Child",
IF(Hospital[[#This Row],[Age]]&lt;=19,"Teen",
IF(Hospital[[#This Row],[Age]]&lt;=35,"Young Adult",
IF(Hospital[[#This Row],[Age]]&lt;=59,"Adult",
"Senior"))))</f>
        <v>Child</v>
      </c>
      <c r="D603" t="s">
        <v>5</v>
      </c>
      <c r="E603" s="1">
        <v>44935</v>
      </c>
      <c r="F603" s="1" t="str">
        <f t="shared" si="18"/>
        <v>January</v>
      </c>
      <c r="G603" t="s">
        <v>11</v>
      </c>
      <c r="H603" t="s">
        <v>17</v>
      </c>
      <c r="I603" t="s">
        <v>20</v>
      </c>
      <c r="J603" t="str">
        <f t="shared" si="19"/>
        <v>Error: Should be None</v>
      </c>
      <c r="K603">
        <v>3</v>
      </c>
      <c r="L603" s="2">
        <v>184.12</v>
      </c>
      <c r="M603" t="s">
        <v>16</v>
      </c>
    </row>
    <row r="604" spans="1:13" x14ac:dyDescent="0.35">
      <c r="A604">
        <v>603</v>
      </c>
      <c r="B604">
        <v>60</v>
      </c>
      <c r="C604" t="str">
        <f>IF(Hospital[[#This Row],[Age]]&lt;=12,"Child",
IF(Hospital[[#This Row],[Age]]&lt;=19,"Teen",
IF(Hospital[[#This Row],[Age]]&lt;=35,"Young Adult",
IF(Hospital[[#This Row],[Age]]&lt;=59,"Adult",
"Senior"))))</f>
        <v>Senior</v>
      </c>
      <c r="D604" t="s">
        <v>5</v>
      </c>
      <c r="E604" s="1">
        <v>45437</v>
      </c>
      <c r="F604" s="1" t="str">
        <f t="shared" si="18"/>
        <v>May</v>
      </c>
      <c r="G604" t="s">
        <v>19</v>
      </c>
      <c r="H604" t="s">
        <v>14</v>
      </c>
      <c r="I604" t="s">
        <v>15</v>
      </c>
      <c r="J604" t="str">
        <f t="shared" si="19"/>
        <v>Error: Should be None</v>
      </c>
      <c r="K604">
        <v>2</v>
      </c>
      <c r="L604" s="2">
        <v>46.9</v>
      </c>
      <c r="M604" t="s">
        <v>10</v>
      </c>
    </row>
    <row r="605" spans="1:13" x14ac:dyDescent="0.35">
      <c r="A605">
        <v>604</v>
      </c>
      <c r="B605">
        <v>61</v>
      </c>
      <c r="C605" t="str">
        <f>IF(Hospital[[#This Row],[Age]]&lt;=12,"Child",
IF(Hospital[[#This Row],[Age]]&lt;=19,"Teen",
IF(Hospital[[#This Row],[Age]]&lt;=35,"Young Adult",
IF(Hospital[[#This Row],[Age]]&lt;=59,"Adult",
"Senior"))))</f>
        <v>Senior</v>
      </c>
      <c r="D605" t="s">
        <v>5</v>
      </c>
      <c r="E605" s="1">
        <v>45000</v>
      </c>
      <c r="F605" s="1" t="str">
        <f t="shared" si="18"/>
        <v>March</v>
      </c>
      <c r="G605" t="s">
        <v>1</v>
      </c>
      <c r="H605" t="s">
        <v>9</v>
      </c>
      <c r="I605" t="s">
        <v>3</v>
      </c>
      <c r="J605" t="str">
        <f t="shared" si="19"/>
        <v>Error: Should be None</v>
      </c>
      <c r="K605">
        <v>4</v>
      </c>
      <c r="L605" s="2">
        <v>412.28</v>
      </c>
      <c r="M605" t="s">
        <v>4</v>
      </c>
    </row>
    <row r="606" spans="1:13" x14ac:dyDescent="0.35">
      <c r="A606">
        <v>605</v>
      </c>
      <c r="B606">
        <v>32</v>
      </c>
      <c r="C60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06" t="s">
        <v>0</v>
      </c>
      <c r="E606" s="1">
        <v>45051</v>
      </c>
      <c r="F606" s="1" t="str">
        <f t="shared" si="18"/>
        <v>May</v>
      </c>
      <c r="G606" t="s">
        <v>6</v>
      </c>
      <c r="H606" t="s">
        <v>7</v>
      </c>
      <c r="I606" t="s">
        <v>3</v>
      </c>
      <c r="J606" t="str">
        <f t="shared" si="19"/>
        <v>Error: Should be None</v>
      </c>
      <c r="K606">
        <v>3</v>
      </c>
      <c r="L606" s="2">
        <v>374.06</v>
      </c>
      <c r="M606" t="s">
        <v>4</v>
      </c>
    </row>
    <row r="607" spans="1:13" x14ac:dyDescent="0.35">
      <c r="A607">
        <v>606</v>
      </c>
      <c r="B607">
        <v>13</v>
      </c>
      <c r="C607" t="str">
        <f>IF(Hospital[[#This Row],[Age]]&lt;=12,"Child",
IF(Hospital[[#This Row],[Age]]&lt;=19,"Teen",
IF(Hospital[[#This Row],[Age]]&lt;=35,"Young Adult",
IF(Hospital[[#This Row],[Age]]&lt;=59,"Adult",
"Senior"))))</f>
        <v>Teen</v>
      </c>
      <c r="D607" t="s">
        <v>5</v>
      </c>
      <c r="E607" s="1">
        <v>45130</v>
      </c>
      <c r="F607" s="1" t="str">
        <f t="shared" si="18"/>
        <v>July</v>
      </c>
      <c r="G607" t="s">
        <v>6</v>
      </c>
      <c r="H607" t="s">
        <v>12</v>
      </c>
      <c r="I607" t="s">
        <v>20</v>
      </c>
      <c r="J607" t="str">
        <f t="shared" si="19"/>
        <v>Error: Should be None</v>
      </c>
      <c r="K607">
        <v>10</v>
      </c>
      <c r="L607" s="2">
        <v>481.38</v>
      </c>
      <c r="M607" t="s">
        <v>16</v>
      </c>
    </row>
    <row r="608" spans="1:13" x14ac:dyDescent="0.35">
      <c r="A608">
        <v>607</v>
      </c>
      <c r="B608">
        <v>6</v>
      </c>
      <c r="C608" t="str">
        <f>IF(Hospital[[#This Row],[Age]]&lt;=12,"Child",
IF(Hospital[[#This Row],[Age]]&lt;=19,"Teen",
IF(Hospital[[#This Row],[Age]]&lt;=35,"Young Adult",
IF(Hospital[[#This Row],[Age]]&lt;=59,"Adult",
"Senior"))))</f>
        <v>Child</v>
      </c>
      <c r="D608" t="s">
        <v>5</v>
      </c>
      <c r="E608" s="1">
        <v>45089</v>
      </c>
      <c r="F608" s="1" t="str">
        <f t="shared" si="18"/>
        <v>June</v>
      </c>
      <c r="G608" t="s">
        <v>19</v>
      </c>
      <c r="H608" t="s">
        <v>7</v>
      </c>
      <c r="I608" t="s">
        <v>3</v>
      </c>
      <c r="J608" t="str">
        <f t="shared" si="19"/>
        <v>Error: Should be None</v>
      </c>
      <c r="K608">
        <v>7</v>
      </c>
      <c r="L608" s="2">
        <v>326.49</v>
      </c>
      <c r="M608" t="s">
        <v>8</v>
      </c>
    </row>
    <row r="609" spans="1:13" x14ac:dyDescent="0.35">
      <c r="A609">
        <v>608</v>
      </c>
      <c r="B609">
        <v>28</v>
      </c>
      <c r="C60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09" t="s">
        <v>5</v>
      </c>
      <c r="E609" s="1">
        <v>45296</v>
      </c>
      <c r="F609" s="1" t="str">
        <f t="shared" si="18"/>
        <v>January</v>
      </c>
      <c r="G609" t="s">
        <v>1</v>
      </c>
      <c r="H609" t="s">
        <v>2</v>
      </c>
      <c r="I609" t="s">
        <v>3</v>
      </c>
      <c r="J609" t="str">
        <f t="shared" si="19"/>
        <v>Error: Should be None</v>
      </c>
      <c r="K609">
        <v>10</v>
      </c>
      <c r="L609" s="2">
        <v>228.4</v>
      </c>
      <c r="M609" t="s">
        <v>4</v>
      </c>
    </row>
    <row r="610" spans="1:13" x14ac:dyDescent="0.35">
      <c r="A610">
        <v>609</v>
      </c>
      <c r="B610">
        <v>75</v>
      </c>
      <c r="C610" t="str">
        <f>IF(Hospital[[#This Row],[Age]]&lt;=12,"Child",
IF(Hospital[[#This Row],[Age]]&lt;=19,"Teen",
IF(Hospital[[#This Row],[Age]]&lt;=35,"Young Adult",
IF(Hospital[[#This Row],[Age]]&lt;=59,"Adult",
"Senior"))))</f>
        <v>Senior</v>
      </c>
      <c r="D610" t="s">
        <v>5</v>
      </c>
      <c r="E610" s="1">
        <v>45098</v>
      </c>
      <c r="F610" s="1" t="str">
        <f t="shared" si="18"/>
        <v>June</v>
      </c>
      <c r="G610" t="s">
        <v>6</v>
      </c>
      <c r="H610" t="s">
        <v>14</v>
      </c>
      <c r="I610" t="s">
        <v>13</v>
      </c>
      <c r="J610" t="str">
        <f t="shared" si="19"/>
        <v>Error: Should be None</v>
      </c>
      <c r="K610">
        <v>0</v>
      </c>
      <c r="L610" s="2">
        <v>485.04</v>
      </c>
      <c r="M610" t="s">
        <v>10</v>
      </c>
    </row>
    <row r="611" spans="1:13" x14ac:dyDescent="0.35">
      <c r="A611">
        <v>610</v>
      </c>
      <c r="B611">
        <v>20</v>
      </c>
      <c r="C61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11" t="s">
        <v>0</v>
      </c>
      <c r="E611" s="1">
        <v>45631</v>
      </c>
      <c r="F611" s="1" t="str">
        <f t="shared" si="18"/>
        <v>December</v>
      </c>
      <c r="G611" t="s">
        <v>11</v>
      </c>
      <c r="H611" t="s">
        <v>9</v>
      </c>
      <c r="I611" t="s">
        <v>3</v>
      </c>
      <c r="J611" t="str">
        <f t="shared" si="19"/>
        <v>Error: Should be None</v>
      </c>
      <c r="K611">
        <v>3</v>
      </c>
      <c r="L611" s="2">
        <v>95.7</v>
      </c>
      <c r="M611" t="s">
        <v>4</v>
      </c>
    </row>
    <row r="612" spans="1:13" x14ac:dyDescent="0.35">
      <c r="A612">
        <v>611</v>
      </c>
      <c r="B612">
        <v>44</v>
      </c>
      <c r="C612" t="str">
        <f>IF(Hospital[[#This Row],[Age]]&lt;=12,"Child",
IF(Hospital[[#This Row],[Age]]&lt;=19,"Teen",
IF(Hospital[[#This Row],[Age]]&lt;=35,"Young Adult",
IF(Hospital[[#This Row],[Age]]&lt;=59,"Adult",
"Senior"))))</f>
        <v>Adult</v>
      </c>
      <c r="D612" t="s">
        <v>5</v>
      </c>
      <c r="E612" s="1">
        <v>45629</v>
      </c>
      <c r="F612" s="1" t="str">
        <f t="shared" si="18"/>
        <v>December</v>
      </c>
      <c r="G612" t="s">
        <v>11</v>
      </c>
      <c r="H612" t="s">
        <v>9</v>
      </c>
      <c r="I612" t="s">
        <v>3</v>
      </c>
      <c r="J612" t="str">
        <f t="shared" si="19"/>
        <v>Error: Should be None</v>
      </c>
      <c r="K612">
        <v>5</v>
      </c>
      <c r="L612" s="2">
        <v>329.4</v>
      </c>
      <c r="M612" t="s">
        <v>4</v>
      </c>
    </row>
    <row r="613" spans="1:13" x14ac:dyDescent="0.35">
      <c r="A613">
        <v>612</v>
      </c>
      <c r="B613">
        <v>30</v>
      </c>
      <c r="C61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13" t="s">
        <v>0</v>
      </c>
      <c r="E613" s="1">
        <v>45055</v>
      </c>
      <c r="F613" s="1" t="str">
        <f t="shared" si="18"/>
        <v>May</v>
      </c>
      <c r="G613" t="s">
        <v>19</v>
      </c>
      <c r="H613" t="s">
        <v>12</v>
      </c>
      <c r="I613" t="s">
        <v>20</v>
      </c>
      <c r="J613" t="str">
        <f t="shared" si="19"/>
        <v>Error: Should be None</v>
      </c>
      <c r="K613">
        <v>3</v>
      </c>
      <c r="L613" s="2">
        <v>30.25</v>
      </c>
      <c r="M613" t="s">
        <v>10</v>
      </c>
    </row>
    <row r="614" spans="1:13" x14ac:dyDescent="0.35">
      <c r="A614">
        <v>613</v>
      </c>
      <c r="B614">
        <v>18</v>
      </c>
      <c r="C614" t="str">
        <f>IF(Hospital[[#This Row],[Age]]&lt;=12,"Child",
IF(Hospital[[#This Row],[Age]]&lt;=19,"Teen",
IF(Hospital[[#This Row],[Age]]&lt;=35,"Young Adult",
IF(Hospital[[#This Row],[Age]]&lt;=59,"Adult",
"Senior"))))</f>
        <v>Teen</v>
      </c>
      <c r="D614" t="s">
        <v>0</v>
      </c>
      <c r="E614" s="1">
        <v>45293</v>
      </c>
      <c r="F614" s="1" t="str">
        <f t="shared" si="18"/>
        <v>January</v>
      </c>
      <c r="G614" t="s">
        <v>11</v>
      </c>
      <c r="H614" t="s">
        <v>7</v>
      </c>
      <c r="I614" t="s">
        <v>3</v>
      </c>
      <c r="J614" t="str">
        <f t="shared" si="19"/>
        <v>Error: Should be None</v>
      </c>
      <c r="K614">
        <v>7</v>
      </c>
      <c r="L614" s="2">
        <v>359.18</v>
      </c>
      <c r="M614" t="s">
        <v>16</v>
      </c>
    </row>
    <row r="615" spans="1:13" x14ac:dyDescent="0.35">
      <c r="A615">
        <v>614</v>
      </c>
      <c r="B615">
        <v>63</v>
      </c>
      <c r="C615" t="str">
        <f>IF(Hospital[[#This Row],[Age]]&lt;=12,"Child",
IF(Hospital[[#This Row],[Age]]&lt;=19,"Teen",
IF(Hospital[[#This Row],[Age]]&lt;=35,"Young Adult",
IF(Hospital[[#This Row],[Age]]&lt;=59,"Adult",
"Senior"))))</f>
        <v>Senior</v>
      </c>
      <c r="D615" t="s">
        <v>5</v>
      </c>
      <c r="E615" s="1">
        <v>45482</v>
      </c>
      <c r="F615" s="1" t="str">
        <f t="shared" si="18"/>
        <v>July</v>
      </c>
      <c r="G615" t="s">
        <v>1</v>
      </c>
      <c r="H615" t="s">
        <v>7</v>
      </c>
      <c r="I615" t="s">
        <v>3</v>
      </c>
      <c r="J615" t="str">
        <f t="shared" si="19"/>
        <v>Error: Should be None</v>
      </c>
      <c r="K615">
        <v>8</v>
      </c>
      <c r="L615" s="2">
        <v>186.88</v>
      </c>
      <c r="M615" t="s">
        <v>10</v>
      </c>
    </row>
    <row r="616" spans="1:13" x14ac:dyDescent="0.35">
      <c r="A616">
        <v>615</v>
      </c>
      <c r="B616">
        <v>71</v>
      </c>
      <c r="C616" t="str">
        <f>IF(Hospital[[#This Row],[Age]]&lt;=12,"Child",
IF(Hospital[[#This Row],[Age]]&lt;=19,"Teen",
IF(Hospital[[#This Row],[Age]]&lt;=35,"Young Adult",
IF(Hospital[[#This Row],[Age]]&lt;=59,"Adult",
"Senior"))))</f>
        <v>Senior</v>
      </c>
      <c r="D616" t="s">
        <v>5</v>
      </c>
      <c r="E616" s="1">
        <v>45208</v>
      </c>
      <c r="F616" s="1" t="str">
        <f t="shared" si="18"/>
        <v>October</v>
      </c>
      <c r="G616" t="s">
        <v>11</v>
      </c>
      <c r="H616" t="s">
        <v>9</v>
      </c>
      <c r="I616" t="s">
        <v>3</v>
      </c>
      <c r="J616" t="str">
        <f t="shared" si="19"/>
        <v>Error: Should be None</v>
      </c>
      <c r="K616">
        <v>8</v>
      </c>
      <c r="L616" s="2">
        <v>94.41</v>
      </c>
      <c r="M616" t="s">
        <v>16</v>
      </c>
    </row>
    <row r="617" spans="1:13" x14ac:dyDescent="0.35">
      <c r="A617">
        <v>616</v>
      </c>
      <c r="B617">
        <v>47</v>
      </c>
      <c r="C617" t="str">
        <f>IF(Hospital[[#This Row],[Age]]&lt;=12,"Child",
IF(Hospital[[#This Row],[Age]]&lt;=19,"Teen",
IF(Hospital[[#This Row],[Age]]&lt;=35,"Young Adult",
IF(Hospital[[#This Row],[Age]]&lt;=59,"Adult",
"Senior"))))</f>
        <v>Adult</v>
      </c>
      <c r="D617" t="s">
        <v>0</v>
      </c>
      <c r="E617" s="1">
        <v>45196</v>
      </c>
      <c r="F617" s="1" t="str">
        <f t="shared" si="18"/>
        <v>September</v>
      </c>
      <c r="G617" t="s">
        <v>11</v>
      </c>
      <c r="H617" t="s">
        <v>9</v>
      </c>
      <c r="I617" t="s">
        <v>3</v>
      </c>
      <c r="J617" t="str">
        <f t="shared" si="19"/>
        <v>Error: Should be None</v>
      </c>
      <c r="K617">
        <v>10</v>
      </c>
      <c r="L617" s="2">
        <v>262.86</v>
      </c>
      <c r="M617" t="s">
        <v>8</v>
      </c>
    </row>
    <row r="618" spans="1:13" x14ac:dyDescent="0.35">
      <c r="A618">
        <v>617</v>
      </c>
      <c r="B618">
        <v>47</v>
      </c>
      <c r="C618" t="str">
        <f>IF(Hospital[[#This Row],[Age]]&lt;=12,"Child",
IF(Hospital[[#This Row],[Age]]&lt;=19,"Teen",
IF(Hospital[[#This Row],[Age]]&lt;=35,"Young Adult",
IF(Hospital[[#This Row],[Age]]&lt;=59,"Adult",
"Senior"))))</f>
        <v>Adult</v>
      </c>
      <c r="D618" t="s">
        <v>5</v>
      </c>
      <c r="E618" s="1">
        <v>44946</v>
      </c>
      <c r="F618" s="1" t="str">
        <f t="shared" si="18"/>
        <v>January</v>
      </c>
      <c r="G618" t="s">
        <v>19</v>
      </c>
      <c r="H618" t="s">
        <v>9</v>
      </c>
      <c r="I618" t="s">
        <v>3</v>
      </c>
      <c r="J618" t="str">
        <f t="shared" si="19"/>
        <v>Error: Should be None</v>
      </c>
      <c r="K618">
        <v>1</v>
      </c>
      <c r="L618" s="2">
        <v>335.98</v>
      </c>
      <c r="M618" t="s">
        <v>10</v>
      </c>
    </row>
    <row r="619" spans="1:13" x14ac:dyDescent="0.35">
      <c r="A619">
        <v>618</v>
      </c>
      <c r="B619">
        <v>64</v>
      </c>
      <c r="C619" t="str">
        <f>IF(Hospital[[#This Row],[Age]]&lt;=12,"Child",
IF(Hospital[[#This Row],[Age]]&lt;=19,"Teen",
IF(Hospital[[#This Row],[Age]]&lt;=35,"Young Adult",
IF(Hospital[[#This Row],[Age]]&lt;=59,"Adult",
"Senior"))))</f>
        <v>Senior</v>
      </c>
      <c r="D619" t="s">
        <v>5</v>
      </c>
      <c r="E619" s="1">
        <v>45121</v>
      </c>
      <c r="F619" s="1" t="str">
        <f t="shared" si="18"/>
        <v>July</v>
      </c>
      <c r="G619" t="s">
        <v>19</v>
      </c>
      <c r="H619" t="s">
        <v>9</v>
      </c>
      <c r="I619" t="s">
        <v>3</v>
      </c>
      <c r="J619" t="str">
        <f t="shared" si="19"/>
        <v>Error: Should be None</v>
      </c>
      <c r="K619">
        <v>5</v>
      </c>
      <c r="L619" s="2">
        <v>216.71</v>
      </c>
      <c r="M619" t="s">
        <v>16</v>
      </c>
    </row>
    <row r="620" spans="1:13" x14ac:dyDescent="0.35">
      <c r="A620">
        <v>619</v>
      </c>
      <c r="B620">
        <v>67</v>
      </c>
      <c r="C620" t="str">
        <f>IF(Hospital[[#This Row],[Age]]&lt;=12,"Child",
IF(Hospital[[#This Row],[Age]]&lt;=19,"Teen",
IF(Hospital[[#This Row],[Age]]&lt;=35,"Young Adult",
IF(Hospital[[#This Row],[Age]]&lt;=59,"Adult",
"Senior"))))</f>
        <v>Senior</v>
      </c>
      <c r="D620" t="s">
        <v>5</v>
      </c>
      <c r="E620" s="1">
        <v>45040</v>
      </c>
      <c r="F620" s="1" t="str">
        <f t="shared" si="18"/>
        <v>April</v>
      </c>
      <c r="G620" t="s">
        <v>11</v>
      </c>
      <c r="H620" t="s">
        <v>2</v>
      </c>
      <c r="I620" t="s">
        <v>3</v>
      </c>
      <c r="J620" t="str">
        <f t="shared" si="19"/>
        <v>Error: Should be None</v>
      </c>
      <c r="K620">
        <v>2</v>
      </c>
      <c r="L620" s="2">
        <v>105.75</v>
      </c>
      <c r="M620" t="s">
        <v>4</v>
      </c>
    </row>
    <row r="621" spans="1:13" x14ac:dyDescent="0.35">
      <c r="A621">
        <v>620</v>
      </c>
      <c r="B621">
        <v>63</v>
      </c>
      <c r="C621" t="str">
        <f>IF(Hospital[[#This Row],[Age]]&lt;=12,"Child",
IF(Hospital[[#This Row],[Age]]&lt;=19,"Teen",
IF(Hospital[[#This Row],[Age]]&lt;=35,"Young Adult",
IF(Hospital[[#This Row],[Age]]&lt;=59,"Adult",
"Senior"))))</f>
        <v>Senior</v>
      </c>
      <c r="D621" t="s">
        <v>5</v>
      </c>
      <c r="E621" s="1">
        <v>45133</v>
      </c>
      <c r="F621" s="1" t="str">
        <f t="shared" si="18"/>
        <v>July</v>
      </c>
      <c r="G621" t="s">
        <v>11</v>
      </c>
      <c r="H621" t="s">
        <v>2</v>
      </c>
      <c r="I621" t="s">
        <v>3</v>
      </c>
      <c r="J621" t="str">
        <f t="shared" si="19"/>
        <v>Error: Should be None</v>
      </c>
      <c r="K621">
        <v>0</v>
      </c>
      <c r="L621" s="2">
        <v>294.08999999999997</v>
      </c>
      <c r="M621" t="s">
        <v>10</v>
      </c>
    </row>
    <row r="622" spans="1:13" x14ac:dyDescent="0.35">
      <c r="A622">
        <v>621</v>
      </c>
      <c r="B622">
        <v>68</v>
      </c>
      <c r="C622" t="str">
        <f>IF(Hospital[[#This Row],[Age]]&lt;=12,"Child",
IF(Hospital[[#This Row],[Age]]&lt;=19,"Teen",
IF(Hospital[[#This Row],[Age]]&lt;=35,"Young Adult",
IF(Hospital[[#This Row],[Age]]&lt;=59,"Adult",
"Senior"))))</f>
        <v>Senior</v>
      </c>
      <c r="D622" t="s">
        <v>0</v>
      </c>
      <c r="E622" s="1">
        <v>45600</v>
      </c>
      <c r="F622" s="1" t="str">
        <f t="shared" si="18"/>
        <v>November</v>
      </c>
      <c r="G622" t="s">
        <v>11</v>
      </c>
      <c r="H622" t="s">
        <v>12</v>
      </c>
      <c r="I622" t="s">
        <v>18</v>
      </c>
      <c r="J622" t="str">
        <f t="shared" si="19"/>
        <v>Error: Should be None</v>
      </c>
      <c r="K622">
        <v>3</v>
      </c>
      <c r="L622" s="2">
        <v>310.86</v>
      </c>
      <c r="M622" t="s">
        <v>4</v>
      </c>
    </row>
    <row r="623" spans="1:13" x14ac:dyDescent="0.35">
      <c r="A623">
        <v>622</v>
      </c>
      <c r="B623">
        <v>84</v>
      </c>
      <c r="C623" t="str">
        <f>IF(Hospital[[#This Row],[Age]]&lt;=12,"Child",
IF(Hospital[[#This Row],[Age]]&lt;=19,"Teen",
IF(Hospital[[#This Row],[Age]]&lt;=35,"Young Adult",
IF(Hospital[[#This Row],[Age]]&lt;=59,"Adult",
"Senior"))))</f>
        <v>Senior</v>
      </c>
      <c r="D623" t="s">
        <v>0</v>
      </c>
      <c r="E623" s="1">
        <v>44940</v>
      </c>
      <c r="F623" s="1" t="str">
        <f t="shared" si="18"/>
        <v>January</v>
      </c>
      <c r="G623" t="s">
        <v>11</v>
      </c>
      <c r="H623" t="s">
        <v>17</v>
      </c>
      <c r="I623" t="s">
        <v>20</v>
      </c>
      <c r="J623" t="str">
        <f t="shared" si="19"/>
        <v>Error: Should be None</v>
      </c>
      <c r="K623">
        <v>10</v>
      </c>
      <c r="L623" s="2">
        <v>49.14</v>
      </c>
      <c r="M623" t="s">
        <v>10</v>
      </c>
    </row>
    <row r="624" spans="1:13" x14ac:dyDescent="0.35">
      <c r="A624">
        <v>623</v>
      </c>
      <c r="B624">
        <v>8</v>
      </c>
      <c r="C624" t="str">
        <f>IF(Hospital[[#This Row],[Age]]&lt;=12,"Child",
IF(Hospital[[#This Row],[Age]]&lt;=19,"Teen",
IF(Hospital[[#This Row],[Age]]&lt;=35,"Young Adult",
IF(Hospital[[#This Row],[Age]]&lt;=59,"Adult",
"Senior"))))</f>
        <v>Child</v>
      </c>
      <c r="D624" t="s">
        <v>0</v>
      </c>
      <c r="E624" s="1">
        <v>45304</v>
      </c>
      <c r="F624" s="1" t="str">
        <f t="shared" si="18"/>
        <v>January</v>
      </c>
      <c r="G624" t="s">
        <v>11</v>
      </c>
      <c r="H624" t="s">
        <v>7</v>
      </c>
      <c r="I624" t="s">
        <v>3</v>
      </c>
      <c r="J624" t="str">
        <f t="shared" si="19"/>
        <v>Error: Should be None</v>
      </c>
      <c r="K624">
        <v>1</v>
      </c>
      <c r="L624" s="2">
        <v>420.54</v>
      </c>
      <c r="M624" t="s">
        <v>4</v>
      </c>
    </row>
    <row r="625" spans="1:13" x14ac:dyDescent="0.35">
      <c r="A625">
        <v>624</v>
      </c>
      <c r="B625">
        <v>13</v>
      </c>
      <c r="C625" t="str">
        <f>IF(Hospital[[#This Row],[Age]]&lt;=12,"Child",
IF(Hospital[[#This Row],[Age]]&lt;=19,"Teen",
IF(Hospital[[#This Row],[Age]]&lt;=35,"Young Adult",
IF(Hospital[[#This Row],[Age]]&lt;=59,"Adult",
"Senior"))))</f>
        <v>Teen</v>
      </c>
      <c r="D625" t="s">
        <v>5</v>
      </c>
      <c r="E625" s="1">
        <v>45148</v>
      </c>
      <c r="F625" s="1" t="str">
        <f t="shared" si="18"/>
        <v>August</v>
      </c>
      <c r="G625" t="s">
        <v>1</v>
      </c>
      <c r="H625" t="s">
        <v>9</v>
      </c>
      <c r="I625" t="s">
        <v>3</v>
      </c>
      <c r="J625" t="str">
        <f t="shared" si="19"/>
        <v>Error: Should be None</v>
      </c>
      <c r="K625">
        <v>8</v>
      </c>
      <c r="L625" s="2">
        <v>204.96</v>
      </c>
      <c r="M625" t="s">
        <v>8</v>
      </c>
    </row>
    <row r="626" spans="1:13" x14ac:dyDescent="0.35">
      <c r="A626">
        <v>625</v>
      </c>
      <c r="B626">
        <v>32</v>
      </c>
      <c r="C62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26" t="s">
        <v>5</v>
      </c>
      <c r="E626" s="1">
        <v>45465</v>
      </c>
      <c r="F626" s="1" t="str">
        <f t="shared" si="18"/>
        <v>June</v>
      </c>
      <c r="G626" t="s">
        <v>6</v>
      </c>
      <c r="H626" t="s">
        <v>7</v>
      </c>
      <c r="I626" t="s">
        <v>3</v>
      </c>
      <c r="J626" t="str">
        <f t="shared" si="19"/>
        <v>Error: Should be None</v>
      </c>
      <c r="K626">
        <v>1</v>
      </c>
      <c r="L626" s="2">
        <v>387.82</v>
      </c>
      <c r="M626" t="s">
        <v>16</v>
      </c>
    </row>
    <row r="627" spans="1:13" x14ac:dyDescent="0.35">
      <c r="A627">
        <v>626</v>
      </c>
      <c r="B627">
        <v>55</v>
      </c>
      <c r="C627" t="str">
        <f>IF(Hospital[[#This Row],[Age]]&lt;=12,"Child",
IF(Hospital[[#This Row],[Age]]&lt;=19,"Teen",
IF(Hospital[[#This Row],[Age]]&lt;=35,"Young Adult",
IF(Hospital[[#This Row],[Age]]&lt;=59,"Adult",
"Senior"))))</f>
        <v>Adult</v>
      </c>
      <c r="D627" t="s">
        <v>5</v>
      </c>
      <c r="E627" s="1">
        <v>45617</v>
      </c>
      <c r="F627" s="1" t="str">
        <f t="shared" si="18"/>
        <v>November</v>
      </c>
      <c r="G627" t="s">
        <v>1</v>
      </c>
      <c r="H627" t="s">
        <v>12</v>
      </c>
      <c r="I627" t="s">
        <v>13</v>
      </c>
      <c r="J627" t="str">
        <f t="shared" si="19"/>
        <v>Error: Should be None</v>
      </c>
      <c r="K627">
        <v>8</v>
      </c>
      <c r="L627" s="2">
        <v>212.75</v>
      </c>
      <c r="M627" t="s">
        <v>16</v>
      </c>
    </row>
    <row r="628" spans="1:13" x14ac:dyDescent="0.35">
      <c r="A628">
        <v>627</v>
      </c>
      <c r="B628">
        <v>69</v>
      </c>
      <c r="C628" t="str">
        <f>IF(Hospital[[#This Row],[Age]]&lt;=12,"Child",
IF(Hospital[[#This Row],[Age]]&lt;=19,"Teen",
IF(Hospital[[#This Row],[Age]]&lt;=35,"Young Adult",
IF(Hospital[[#This Row],[Age]]&lt;=59,"Adult",
"Senior"))))</f>
        <v>Senior</v>
      </c>
      <c r="D628" t="s">
        <v>0</v>
      </c>
      <c r="E628" s="1">
        <v>45600</v>
      </c>
      <c r="F628" s="1" t="str">
        <f t="shared" si="18"/>
        <v>November</v>
      </c>
      <c r="G628" t="s">
        <v>19</v>
      </c>
      <c r="H628" t="s">
        <v>17</v>
      </c>
      <c r="I628" t="s">
        <v>18</v>
      </c>
      <c r="J628" t="str">
        <f t="shared" si="19"/>
        <v>Error: Should be None</v>
      </c>
      <c r="K628">
        <v>8</v>
      </c>
      <c r="L628" s="2">
        <v>495.9</v>
      </c>
      <c r="M628" t="s">
        <v>16</v>
      </c>
    </row>
    <row r="629" spans="1:13" x14ac:dyDescent="0.35">
      <c r="A629">
        <v>628</v>
      </c>
      <c r="B629">
        <v>82</v>
      </c>
      <c r="C629" t="str">
        <f>IF(Hospital[[#This Row],[Age]]&lt;=12,"Child",
IF(Hospital[[#This Row],[Age]]&lt;=19,"Teen",
IF(Hospital[[#This Row],[Age]]&lt;=35,"Young Adult",
IF(Hospital[[#This Row],[Age]]&lt;=59,"Adult",
"Senior"))))</f>
        <v>Senior</v>
      </c>
      <c r="D629" t="s">
        <v>0</v>
      </c>
      <c r="E629" s="1">
        <v>45307</v>
      </c>
      <c r="F629" s="1" t="str">
        <f t="shared" si="18"/>
        <v>January</v>
      </c>
      <c r="G629" t="s">
        <v>19</v>
      </c>
      <c r="H629" t="s">
        <v>12</v>
      </c>
      <c r="I629" t="s">
        <v>3</v>
      </c>
      <c r="J629" t="str">
        <f t="shared" si="19"/>
        <v>Error: Should be None</v>
      </c>
      <c r="K629">
        <v>3</v>
      </c>
      <c r="L629" s="2">
        <v>290.31</v>
      </c>
      <c r="M629" t="s">
        <v>8</v>
      </c>
    </row>
    <row r="630" spans="1:13" x14ac:dyDescent="0.35">
      <c r="A630">
        <v>629</v>
      </c>
      <c r="B630">
        <v>33</v>
      </c>
      <c r="C63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30" t="s">
        <v>0</v>
      </c>
      <c r="E630" s="1">
        <v>45311</v>
      </c>
      <c r="F630" s="1" t="str">
        <f t="shared" si="18"/>
        <v>January</v>
      </c>
      <c r="G630" t="s">
        <v>6</v>
      </c>
      <c r="H630" t="s">
        <v>9</v>
      </c>
      <c r="I630" t="s">
        <v>3</v>
      </c>
      <c r="J630" t="str">
        <f t="shared" si="19"/>
        <v>Error: Should be None</v>
      </c>
      <c r="K630">
        <v>7</v>
      </c>
      <c r="L630" s="2">
        <v>480.72</v>
      </c>
      <c r="M630" t="s">
        <v>4</v>
      </c>
    </row>
    <row r="631" spans="1:13" x14ac:dyDescent="0.35">
      <c r="A631">
        <v>630</v>
      </c>
      <c r="B631">
        <v>77</v>
      </c>
      <c r="C631" t="str">
        <f>IF(Hospital[[#This Row],[Age]]&lt;=12,"Child",
IF(Hospital[[#This Row],[Age]]&lt;=19,"Teen",
IF(Hospital[[#This Row],[Age]]&lt;=35,"Young Adult",
IF(Hospital[[#This Row],[Age]]&lt;=59,"Adult",
"Senior"))))</f>
        <v>Senior</v>
      </c>
      <c r="D631" t="s">
        <v>5</v>
      </c>
      <c r="E631" s="1">
        <v>44962</v>
      </c>
      <c r="F631" s="1" t="str">
        <f t="shared" si="18"/>
        <v>February</v>
      </c>
      <c r="G631" t="s">
        <v>1</v>
      </c>
      <c r="H631" t="s">
        <v>14</v>
      </c>
      <c r="I631" t="s">
        <v>18</v>
      </c>
      <c r="J631" t="str">
        <f t="shared" si="19"/>
        <v>Error: Should be None</v>
      </c>
      <c r="K631">
        <v>0</v>
      </c>
      <c r="L631" s="2">
        <v>164.16</v>
      </c>
      <c r="M631" t="s">
        <v>8</v>
      </c>
    </row>
    <row r="632" spans="1:13" x14ac:dyDescent="0.35">
      <c r="A632">
        <v>631</v>
      </c>
      <c r="B632">
        <v>3</v>
      </c>
      <c r="C632" t="str">
        <f>IF(Hospital[[#This Row],[Age]]&lt;=12,"Child",
IF(Hospital[[#This Row],[Age]]&lt;=19,"Teen",
IF(Hospital[[#This Row],[Age]]&lt;=35,"Young Adult",
IF(Hospital[[#This Row],[Age]]&lt;=59,"Adult",
"Senior"))))</f>
        <v>Child</v>
      </c>
      <c r="D632" t="s">
        <v>0</v>
      </c>
      <c r="E632" s="1">
        <v>45146</v>
      </c>
      <c r="F632" s="1" t="str">
        <f t="shared" si="18"/>
        <v>August</v>
      </c>
      <c r="G632" t="s">
        <v>1</v>
      </c>
      <c r="H632" t="s">
        <v>14</v>
      </c>
      <c r="I632" t="s">
        <v>15</v>
      </c>
      <c r="J632" t="str">
        <f t="shared" si="19"/>
        <v>Error: Should be None</v>
      </c>
      <c r="K632">
        <v>0</v>
      </c>
      <c r="L632" s="2">
        <v>240.98</v>
      </c>
      <c r="M632" t="s">
        <v>8</v>
      </c>
    </row>
    <row r="633" spans="1:13" x14ac:dyDescent="0.35">
      <c r="A633">
        <v>632</v>
      </c>
      <c r="B633">
        <v>47</v>
      </c>
      <c r="C633" t="str">
        <f>IF(Hospital[[#This Row],[Age]]&lt;=12,"Child",
IF(Hospital[[#This Row],[Age]]&lt;=19,"Teen",
IF(Hospital[[#This Row],[Age]]&lt;=35,"Young Adult",
IF(Hospital[[#This Row],[Age]]&lt;=59,"Adult",
"Senior"))))</f>
        <v>Adult</v>
      </c>
      <c r="D633" t="s">
        <v>5</v>
      </c>
      <c r="E633" s="1">
        <v>45068</v>
      </c>
      <c r="F633" s="1" t="str">
        <f t="shared" si="18"/>
        <v>May</v>
      </c>
      <c r="G633" t="s">
        <v>1</v>
      </c>
      <c r="H633" t="s">
        <v>14</v>
      </c>
      <c r="I633" t="s">
        <v>18</v>
      </c>
      <c r="J633" t="str">
        <f t="shared" si="19"/>
        <v>Error: Should be None</v>
      </c>
      <c r="K633">
        <v>4</v>
      </c>
      <c r="L633" s="2">
        <v>64.11</v>
      </c>
      <c r="M633" t="s">
        <v>10</v>
      </c>
    </row>
    <row r="634" spans="1:13" x14ac:dyDescent="0.35">
      <c r="A634">
        <v>633</v>
      </c>
      <c r="B634">
        <v>10</v>
      </c>
      <c r="C634" t="str">
        <f>IF(Hospital[[#This Row],[Age]]&lt;=12,"Child",
IF(Hospital[[#This Row],[Age]]&lt;=19,"Teen",
IF(Hospital[[#This Row],[Age]]&lt;=35,"Young Adult",
IF(Hospital[[#This Row],[Age]]&lt;=59,"Adult",
"Senior"))))</f>
        <v>Child</v>
      </c>
      <c r="D634" t="s">
        <v>0</v>
      </c>
      <c r="E634" s="1">
        <v>45509</v>
      </c>
      <c r="F634" s="1" t="str">
        <f t="shared" si="18"/>
        <v>August</v>
      </c>
      <c r="G634" t="s">
        <v>6</v>
      </c>
      <c r="H634" t="s">
        <v>17</v>
      </c>
      <c r="I634" t="s">
        <v>13</v>
      </c>
      <c r="J634" t="str">
        <f t="shared" si="19"/>
        <v>Error: Should be None</v>
      </c>
      <c r="K634">
        <v>7</v>
      </c>
      <c r="L634" s="2">
        <v>416.34</v>
      </c>
      <c r="M634" t="s">
        <v>4</v>
      </c>
    </row>
    <row r="635" spans="1:13" x14ac:dyDescent="0.35">
      <c r="A635">
        <v>634</v>
      </c>
      <c r="B635">
        <v>39</v>
      </c>
      <c r="C635" t="str">
        <f>IF(Hospital[[#This Row],[Age]]&lt;=12,"Child",
IF(Hospital[[#This Row],[Age]]&lt;=19,"Teen",
IF(Hospital[[#This Row],[Age]]&lt;=35,"Young Adult",
IF(Hospital[[#This Row],[Age]]&lt;=59,"Adult",
"Senior"))))</f>
        <v>Adult</v>
      </c>
      <c r="D635" t="s">
        <v>5</v>
      </c>
      <c r="E635" s="1">
        <v>45536</v>
      </c>
      <c r="F635" s="1" t="str">
        <f t="shared" si="18"/>
        <v>September</v>
      </c>
      <c r="G635" t="s">
        <v>6</v>
      </c>
      <c r="H635" t="s">
        <v>7</v>
      </c>
      <c r="I635" t="s">
        <v>3</v>
      </c>
      <c r="J635" t="str">
        <f t="shared" si="19"/>
        <v>Error: Should be None</v>
      </c>
      <c r="K635">
        <v>1</v>
      </c>
      <c r="L635" s="2">
        <v>394.46</v>
      </c>
      <c r="M635" t="s">
        <v>16</v>
      </c>
    </row>
    <row r="636" spans="1:13" x14ac:dyDescent="0.35">
      <c r="A636">
        <v>635</v>
      </c>
      <c r="B636">
        <v>54</v>
      </c>
      <c r="C636" t="str">
        <f>IF(Hospital[[#This Row],[Age]]&lt;=12,"Child",
IF(Hospital[[#This Row],[Age]]&lt;=19,"Teen",
IF(Hospital[[#This Row],[Age]]&lt;=35,"Young Adult",
IF(Hospital[[#This Row],[Age]]&lt;=59,"Adult",
"Senior"))))</f>
        <v>Adult</v>
      </c>
      <c r="D636" t="s">
        <v>5</v>
      </c>
      <c r="E636" s="1">
        <v>45283</v>
      </c>
      <c r="F636" s="1" t="str">
        <f t="shared" si="18"/>
        <v>December</v>
      </c>
      <c r="G636" t="s">
        <v>1</v>
      </c>
      <c r="H636" t="s">
        <v>12</v>
      </c>
      <c r="I636" t="s">
        <v>3</v>
      </c>
      <c r="J636" t="str">
        <f t="shared" si="19"/>
        <v>Error: Should be None</v>
      </c>
      <c r="K636">
        <v>0</v>
      </c>
      <c r="L636" s="2">
        <v>324.27</v>
      </c>
      <c r="M636" t="s">
        <v>10</v>
      </c>
    </row>
    <row r="637" spans="1:13" x14ac:dyDescent="0.35">
      <c r="A637">
        <v>636</v>
      </c>
      <c r="B637">
        <v>68</v>
      </c>
      <c r="C637" t="str">
        <f>IF(Hospital[[#This Row],[Age]]&lt;=12,"Child",
IF(Hospital[[#This Row],[Age]]&lt;=19,"Teen",
IF(Hospital[[#This Row],[Age]]&lt;=35,"Young Adult",
IF(Hospital[[#This Row],[Age]]&lt;=59,"Adult",
"Senior"))))</f>
        <v>Senior</v>
      </c>
      <c r="D637" t="s">
        <v>5</v>
      </c>
      <c r="E637" s="1">
        <v>44982</v>
      </c>
      <c r="F637" s="1" t="str">
        <f t="shared" si="18"/>
        <v>February</v>
      </c>
      <c r="G637" t="s">
        <v>19</v>
      </c>
      <c r="H637" t="s">
        <v>14</v>
      </c>
      <c r="I637" t="s">
        <v>3</v>
      </c>
      <c r="J637" t="str">
        <f t="shared" si="19"/>
        <v>Error: Should be None</v>
      </c>
      <c r="K637">
        <v>9</v>
      </c>
      <c r="L637" s="2">
        <v>91.8</v>
      </c>
      <c r="M637" t="s">
        <v>8</v>
      </c>
    </row>
    <row r="638" spans="1:13" x14ac:dyDescent="0.35">
      <c r="A638">
        <v>637</v>
      </c>
      <c r="B638">
        <v>51</v>
      </c>
      <c r="C638" t="str">
        <f>IF(Hospital[[#This Row],[Age]]&lt;=12,"Child",
IF(Hospital[[#This Row],[Age]]&lt;=19,"Teen",
IF(Hospital[[#This Row],[Age]]&lt;=35,"Young Adult",
IF(Hospital[[#This Row],[Age]]&lt;=59,"Adult",
"Senior"))))</f>
        <v>Adult</v>
      </c>
      <c r="D638" t="s">
        <v>0</v>
      </c>
      <c r="E638" s="1">
        <v>45083</v>
      </c>
      <c r="F638" s="1" t="str">
        <f t="shared" si="18"/>
        <v>June</v>
      </c>
      <c r="G638" t="s">
        <v>11</v>
      </c>
      <c r="H638" t="s">
        <v>2</v>
      </c>
      <c r="I638" t="s">
        <v>3</v>
      </c>
      <c r="J638" t="str">
        <f t="shared" si="19"/>
        <v>Error: Should be None</v>
      </c>
      <c r="K638">
        <v>3</v>
      </c>
      <c r="L638" s="2">
        <v>227.33</v>
      </c>
      <c r="M638" t="s">
        <v>10</v>
      </c>
    </row>
    <row r="639" spans="1:13" x14ac:dyDescent="0.35">
      <c r="A639">
        <v>638</v>
      </c>
      <c r="B639">
        <v>44</v>
      </c>
      <c r="C639" t="str">
        <f>IF(Hospital[[#This Row],[Age]]&lt;=12,"Child",
IF(Hospital[[#This Row],[Age]]&lt;=19,"Teen",
IF(Hospital[[#This Row],[Age]]&lt;=35,"Young Adult",
IF(Hospital[[#This Row],[Age]]&lt;=59,"Adult",
"Senior"))))</f>
        <v>Adult</v>
      </c>
      <c r="D639" t="s">
        <v>5</v>
      </c>
      <c r="E639" s="1">
        <v>45078</v>
      </c>
      <c r="F639" s="1" t="str">
        <f t="shared" si="18"/>
        <v>June</v>
      </c>
      <c r="G639" t="s">
        <v>6</v>
      </c>
      <c r="H639" t="s">
        <v>17</v>
      </c>
      <c r="I639" t="s">
        <v>3</v>
      </c>
      <c r="J639" t="str">
        <f t="shared" si="19"/>
        <v>Error: Should be None</v>
      </c>
      <c r="K639">
        <v>0</v>
      </c>
      <c r="L639" s="2">
        <v>283.11</v>
      </c>
      <c r="M639" t="s">
        <v>16</v>
      </c>
    </row>
    <row r="640" spans="1:13" x14ac:dyDescent="0.35">
      <c r="A640">
        <v>639</v>
      </c>
      <c r="B640">
        <v>65</v>
      </c>
      <c r="C640" t="str">
        <f>IF(Hospital[[#This Row],[Age]]&lt;=12,"Child",
IF(Hospital[[#This Row],[Age]]&lt;=19,"Teen",
IF(Hospital[[#This Row],[Age]]&lt;=35,"Young Adult",
IF(Hospital[[#This Row],[Age]]&lt;=59,"Adult",
"Senior"))))</f>
        <v>Senior</v>
      </c>
      <c r="D640" t="s">
        <v>0</v>
      </c>
      <c r="E640" s="1">
        <v>45014</v>
      </c>
      <c r="F640" s="1" t="str">
        <f t="shared" si="18"/>
        <v>March</v>
      </c>
      <c r="G640" t="s">
        <v>1</v>
      </c>
      <c r="H640" t="s">
        <v>12</v>
      </c>
      <c r="I640" t="s">
        <v>13</v>
      </c>
      <c r="J640" t="str">
        <f t="shared" si="19"/>
        <v>Error: Should be None</v>
      </c>
      <c r="K640">
        <v>7</v>
      </c>
      <c r="L640" s="2">
        <v>288.45999999999998</v>
      </c>
      <c r="M640" t="s">
        <v>10</v>
      </c>
    </row>
    <row r="641" spans="1:13" x14ac:dyDescent="0.35">
      <c r="A641">
        <v>640</v>
      </c>
      <c r="B641">
        <v>74</v>
      </c>
      <c r="C641" t="str">
        <f>IF(Hospital[[#This Row],[Age]]&lt;=12,"Child",
IF(Hospital[[#This Row],[Age]]&lt;=19,"Teen",
IF(Hospital[[#This Row],[Age]]&lt;=35,"Young Adult",
IF(Hospital[[#This Row],[Age]]&lt;=59,"Adult",
"Senior"))))</f>
        <v>Senior</v>
      </c>
      <c r="D641" t="s">
        <v>5</v>
      </c>
      <c r="E641" s="1">
        <v>45331</v>
      </c>
      <c r="F641" s="1" t="str">
        <f t="shared" si="18"/>
        <v>February</v>
      </c>
      <c r="G641" t="s">
        <v>1</v>
      </c>
      <c r="H641" t="s">
        <v>7</v>
      </c>
      <c r="I641" t="s">
        <v>3</v>
      </c>
      <c r="J641" t="str">
        <f t="shared" si="19"/>
        <v>Error: Should be None</v>
      </c>
      <c r="K641">
        <v>3</v>
      </c>
      <c r="L641" s="2">
        <v>54.39</v>
      </c>
      <c r="M641" t="s">
        <v>10</v>
      </c>
    </row>
    <row r="642" spans="1:13" x14ac:dyDescent="0.35">
      <c r="A642">
        <v>641</v>
      </c>
      <c r="B642">
        <v>74</v>
      </c>
      <c r="C642" t="str">
        <f>IF(Hospital[[#This Row],[Age]]&lt;=12,"Child",
IF(Hospital[[#This Row],[Age]]&lt;=19,"Teen",
IF(Hospital[[#This Row],[Age]]&lt;=35,"Young Adult",
IF(Hospital[[#This Row],[Age]]&lt;=59,"Adult",
"Senior"))))</f>
        <v>Senior</v>
      </c>
      <c r="D642" t="s">
        <v>5</v>
      </c>
      <c r="E642" s="1">
        <v>45258</v>
      </c>
      <c r="F642" s="1" t="str">
        <f t="shared" si="18"/>
        <v>November</v>
      </c>
      <c r="G642" t="s">
        <v>11</v>
      </c>
      <c r="H642" t="s">
        <v>7</v>
      </c>
      <c r="I642" t="s">
        <v>3</v>
      </c>
      <c r="J642" t="str">
        <f t="shared" si="19"/>
        <v>Error: Should be None</v>
      </c>
      <c r="K642">
        <v>10</v>
      </c>
      <c r="L642" s="2">
        <v>218.52</v>
      </c>
      <c r="M642" t="s">
        <v>16</v>
      </c>
    </row>
    <row r="643" spans="1:13" x14ac:dyDescent="0.35">
      <c r="A643">
        <v>642</v>
      </c>
      <c r="B643">
        <v>42</v>
      </c>
      <c r="C643" t="str">
        <f>IF(Hospital[[#This Row],[Age]]&lt;=12,"Child",
IF(Hospital[[#This Row],[Age]]&lt;=19,"Teen",
IF(Hospital[[#This Row],[Age]]&lt;=35,"Young Adult",
IF(Hospital[[#This Row],[Age]]&lt;=59,"Adult",
"Senior"))))</f>
        <v>Adult</v>
      </c>
      <c r="D643" t="s">
        <v>0</v>
      </c>
      <c r="E643" s="1">
        <v>45283</v>
      </c>
      <c r="F643" s="1" t="str">
        <f t="shared" ref="F643:F706" si="20">TEXT(E643, "mmmm")</f>
        <v>December</v>
      </c>
      <c r="G643" t="s">
        <v>11</v>
      </c>
      <c r="H643" t="s">
        <v>17</v>
      </c>
      <c r="I643" t="s">
        <v>18</v>
      </c>
      <c r="J643" t="str">
        <f t="shared" ref="J643:J706" si="21">IF(OR(G643="UTI", G643="Pneumonia", G643="Typhoid"),
   IF(H643="None","Error: Should have antibiotics","OK"),
   IF(H643&lt;&gt;"None","Error: Should be None","OK"))</f>
        <v>Error: Should be None</v>
      </c>
      <c r="K643">
        <v>2</v>
      </c>
      <c r="L643" s="2">
        <v>494.07</v>
      </c>
      <c r="M643" t="s">
        <v>10</v>
      </c>
    </row>
    <row r="644" spans="1:13" x14ac:dyDescent="0.35">
      <c r="A644">
        <v>643</v>
      </c>
      <c r="B644">
        <v>57</v>
      </c>
      <c r="C644" t="str">
        <f>IF(Hospital[[#This Row],[Age]]&lt;=12,"Child",
IF(Hospital[[#This Row],[Age]]&lt;=19,"Teen",
IF(Hospital[[#This Row],[Age]]&lt;=35,"Young Adult",
IF(Hospital[[#This Row],[Age]]&lt;=59,"Adult",
"Senior"))))</f>
        <v>Adult</v>
      </c>
      <c r="D644" t="s">
        <v>5</v>
      </c>
      <c r="E644" s="1">
        <v>45565</v>
      </c>
      <c r="F644" s="1" t="str">
        <f t="shared" si="20"/>
        <v>September</v>
      </c>
      <c r="G644" t="s">
        <v>1</v>
      </c>
      <c r="H644" t="s">
        <v>17</v>
      </c>
      <c r="I644" t="s">
        <v>13</v>
      </c>
      <c r="J644" t="str">
        <f t="shared" si="21"/>
        <v>Error: Should be None</v>
      </c>
      <c r="K644">
        <v>10</v>
      </c>
      <c r="L644" s="2">
        <v>199.43</v>
      </c>
      <c r="M644" t="s">
        <v>4</v>
      </c>
    </row>
    <row r="645" spans="1:13" x14ac:dyDescent="0.35">
      <c r="A645">
        <v>644</v>
      </c>
      <c r="B645">
        <v>7</v>
      </c>
      <c r="C645" t="str">
        <f>IF(Hospital[[#This Row],[Age]]&lt;=12,"Child",
IF(Hospital[[#This Row],[Age]]&lt;=19,"Teen",
IF(Hospital[[#This Row],[Age]]&lt;=35,"Young Adult",
IF(Hospital[[#This Row],[Age]]&lt;=59,"Adult",
"Senior"))))</f>
        <v>Child</v>
      </c>
      <c r="D645" t="s">
        <v>5</v>
      </c>
      <c r="E645" s="1">
        <v>45042</v>
      </c>
      <c r="F645" s="1" t="str">
        <f t="shared" si="20"/>
        <v>April</v>
      </c>
      <c r="G645" t="s">
        <v>1</v>
      </c>
      <c r="H645" t="s">
        <v>7</v>
      </c>
      <c r="I645" t="s">
        <v>3</v>
      </c>
      <c r="J645" t="str">
        <f t="shared" si="21"/>
        <v>Error: Should be None</v>
      </c>
      <c r="K645">
        <v>4</v>
      </c>
      <c r="L645" s="2">
        <v>26.59</v>
      </c>
      <c r="M645" t="s">
        <v>4</v>
      </c>
    </row>
    <row r="646" spans="1:13" x14ac:dyDescent="0.35">
      <c r="A646">
        <v>645</v>
      </c>
      <c r="B646">
        <v>61</v>
      </c>
      <c r="C646" t="str">
        <f>IF(Hospital[[#This Row],[Age]]&lt;=12,"Child",
IF(Hospital[[#This Row],[Age]]&lt;=19,"Teen",
IF(Hospital[[#This Row],[Age]]&lt;=35,"Young Adult",
IF(Hospital[[#This Row],[Age]]&lt;=59,"Adult",
"Senior"))))</f>
        <v>Senior</v>
      </c>
      <c r="D646" t="s">
        <v>5</v>
      </c>
      <c r="E646" s="1">
        <v>45239</v>
      </c>
      <c r="F646" s="1" t="str">
        <f t="shared" si="20"/>
        <v>November</v>
      </c>
      <c r="G646" t="s">
        <v>19</v>
      </c>
      <c r="H646" t="s">
        <v>12</v>
      </c>
      <c r="I646" t="s">
        <v>13</v>
      </c>
      <c r="J646" t="str">
        <f t="shared" si="21"/>
        <v>Error: Should be None</v>
      </c>
      <c r="K646">
        <v>8</v>
      </c>
      <c r="L646" s="2">
        <v>121.7</v>
      </c>
      <c r="M646" t="s">
        <v>16</v>
      </c>
    </row>
    <row r="647" spans="1:13" x14ac:dyDescent="0.35">
      <c r="A647">
        <v>646</v>
      </c>
      <c r="B647">
        <v>80</v>
      </c>
      <c r="C647" t="str">
        <f>IF(Hospital[[#This Row],[Age]]&lt;=12,"Child",
IF(Hospital[[#This Row],[Age]]&lt;=19,"Teen",
IF(Hospital[[#This Row],[Age]]&lt;=35,"Young Adult",
IF(Hospital[[#This Row],[Age]]&lt;=59,"Adult",
"Senior"))))</f>
        <v>Senior</v>
      </c>
      <c r="D647" t="s">
        <v>5</v>
      </c>
      <c r="E647" s="1">
        <v>45488</v>
      </c>
      <c r="F647" s="1" t="str">
        <f t="shared" si="20"/>
        <v>July</v>
      </c>
      <c r="G647" t="s">
        <v>11</v>
      </c>
      <c r="H647" t="s">
        <v>12</v>
      </c>
      <c r="I647" t="s">
        <v>20</v>
      </c>
      <c r="J647" t="str">
        <f t="shared" si="21"/>
        <v>Error: Should be None</v>
      </c>
      <c r="K647">
        <v>9</v>
      </c>
      <c r="L647" s="2">
        <v>454.9</v>
      </c>
      <c r="M647" t="s">
        <v>4</v>
      </c>
    </row>
    <row r="648" spans="1:13" x14ac:dyDescent="0.35">
      <c r="A648">
        <v>647</v>
      </c>
      <c r="B648">
        <v>8</v>
      </c>
      <c r="C648" t="str">
        <f>IF(Hospital[[#This Row],[Age]]&lt;=12,"Child",
IF(Hospital[[#This Row],[Age]]&lt;=19,"Teen",
IF(Hospital[[#This Row],[Age]]&lt;=35,"Young Adult",
IF(Hospital[[#This Row],[Age]]&lt;=59,"Adult",
"Senior"))))</f>
        <v>Child</v>
      </c>
      <c r="D648" t="s">
        <v>0</v>
      </c>
      <c r="E648" s="1">
        <v>45188</v>
      </c>
      <c r="F648" s="1" t="str">
        <f t="shared" si="20"/>
        <v>September</v>
      </c>
      <c r="G648" t="s">
        <v>1</v>
      </c>
      <c r="H648" t="s">
        <v>17</v>
      </c>
      <c r="I648" t="s">
        <v>3</v>
      </c>
      <c r="J648" t="str">
        <f t="shared" si="21"/>
        <v>Error: Should be None</v>
      </c>
      <c r="K648">
        <v>4</v>
      </c>
      <c r="L648" s="2">
        <v>45.48</v>
      </c>
      <c r="M648" t="s">
        <v>4</v>
      </c>
    </row>
    <row r="649" spans="1:13" x14ac:dyDescent="0.35">
      <c r="A649">
        <v>648</v>
      </c>
      <c r="B649">
        <v>85</v>
      </c>
      <c r="C649" t="str">
        <f>IF(Hospital[[#This Row],[Age]]&lt;=12,"Child",
IF(Hospital[[#This Row],[Age]]&lt;=19,"Teen",
IF(Hospital[[#This Row],[Age]]&lt;=35,"Young Adult",
IF(Hospital[[#This Row],[Age]]&lt;=59,"Adult",
"Senior"))))</f>
        <v>Senior</v>
      </c>
      <c r="D649" t="s">
        <v>0</v>
      </c>
      <c r="E649" s="1">
        <v>44995</v>
      </c>
      <c r="F649" s="1" t="str">
        <f t="shared" si="20"/>
        <v>March</v>
      </c>
      <c r="G649" t="s">
        <v>19</v>
      </c>
      <c r="H649" t="s">
        <v>12</v>
      </c>
      <c r="I649" t="s">
        <v>15</v>
      </c>
      <c r="J649" t="str">
        <f t="shared" si="21"/>
        <v>Error: Should be None</v>
      </c>
      <c r="K649">
        <v>0</v>
      </c>
      <c r="L649" s="2">
        <v>160.4</v>
      </c>
      <c r="M649" t="s">
        <v>10</v>
      </c>
    </row>
    <row r="650" spans="1:13" x14ac:dyDescent="0.35">
      <c r="A650">
        <v>649</v>
      </c>
      <c r="B650">
        <v>66</v>
      </c>
      <c r="C650" t="str">
        <f>IF(Hospital[[#This Row],[Age]]&lt;=12,"Child",
IF(Hospital[[#This Row],[Age]]&lt;=19,"Teen",
IF(Hospital[[#This Row],[Age]]&lt;=35,"Young Adult",
IF(Hospital[[#This Row],[Age]]&lt;=59,"Adult",
"Senior"))))</f>
        <v>Senior</v>
      </c>
      <c r="D650" t="s">
        <v>5</v>
      </c>
      <c r="E650" s="1">
        <v>45163</v>
      </c>
      <c r="F650" s="1" t="str">
        <f t="shared" si="20"/>
        <v>August</v>
      </c>
      <c r="G650" t="s">
        <v>19</v>
      </c>
      <c r="H650" t="s">
        <v>12</v>
      </c>
      <c r="I650" t="s">
        <v>20</v>
      </c>
      <c r="J650" t="str">
        <f t="shared" si="21"/>
        <v>Error: Should be None</v>
      </c>
      <c r="K650">
        <v>9</v>
      </c>
      <c r="L650" s="2">
        <v>275.14999999999998</v>
      </c>
      <c r="M650" t="s">
        <v>8</v>
      </c>
    </row>
    <row r="651" spans="1:13" x14ac:dyDescent="0.35">
      <c r="A651">
        <v>650</v>
      </c>
      <c r="B651">
        <v>59</v>
      </c>
      <c r="C651" t="str">
        <f>IF(Hospital[[#This Row],[Age]]&lt;=12,"Child",
IF(Hospital[[#This Row],[Age]]&lt;=19,"Teen",
IF(Hospital[[#This Row],[Age]]&lt;=35,"Young Adult",
IF(Hospital[[#This Row],[Age]]&lt;=59,"Adult",
"Senior"))))</f>
        <v>Adult</v>
      </c>
      <c r="D651" t="s">
        <v>5</v>
      </c>
      <c r="E651" s="1">
        <v>45130</v>
      </c>
      <c r="F651" s="1" t="str">
        <f t="shared" si="20"/>
        <v>July</v>
      </c>
      <c r="G651" t="s">
        <v>11</v>
      </c>
      <c r="H651" t="s">
        <v>9</v>
      </c>
      <c r="I651" t="s">
        <v>3</v>
      </c>
      <c r="J651" t="str">
        <f t="shared" si="21"/>
        <v>Error: Should be None</v>
      </c>
      <c r="K651">
        <v>3</v>
      </c>
      <c r="L651" s="2">
        <v>462.69</v>
      </c>
      <c r="M651" t="s">
        <v>16</v>
      </c>
    </row>
    <row r="652" spans="1:13" x14ac:dyDescent="0.35">
      <c r="A652">
        <v>651</v>
      </c>
      <c r="B652">
        <v>51</v>
      </c>
      <c r="C652" t="str">
        <f>IF(Hospital[[#This Row],[Age]]&lt;=12,"Child",
IF(Hospital[[#This Row],[Age]]&lt;=19,"Teen",
IF(Hospital[[#This Row],[Age]]&lt;=35,"Young Adult",
IF(Hospital[[#This Row],[Age]]&lt;=59,"Adult",
"Senior"))))</f>
        <v>Adult</v>
      </c>
      <c r="D652" t="s">
        <v>5</v>
      </c>
      <c r="E652" s="1">
        <v>45268</v>
      </c>
      <c r="F652" s="1" t="str">
        <f t="shared" si="20"/>
        <v>December</v>
      </c>
      <c r="G652" t="s">
        <v>11</v>
      </c>
      <c r="H652" t="s">
        <v>12</v>
      </c>
      <c r="I652" t="s">
        <v>18</v>
      </c>
      <c r="J652" t="str">
        <f t="shared" si="21"/>
        <v>Error: Should be None</v>
      </c>
      <c r="K652">
        <v>10</v>
      </c>
      <c r="L652" s="2">
        <v>188.92</v>
      </c>
      <c r="M652" t="s">
        <v>16</v>
      </c>
    </row>
    <row r="653" spans="1:13" x14ac:dyDescent="0.35">
      <c r="A653">
        <v>652</v>
      </c>
      <c r="B653">
        <v>36</v>
      </c>
      <c r="C653" t="str">
        <f>IF(Hospital[[#This Row],[Age]]&lt;=12,"Child",
IF(Hospital[[#This Row],[Age]]&lt;=19,"Teen",
IF(Hospital[[#This Row],[Age]]&lt;=35,"Young Adult",
IF(Hospital[[#This Row],[Age]]&lt;=59,"Adult",
"Senior"))))</f>
        <v>Adult</v>
      </c>
      <c r="D653" t="s">
        <v>5</v>
      </c>
      <c r="E653" s="1">
        <v>45168</v>
      </c>
      <c r="F653" s="1" t="str">
        <f t="shared" si="20"/>
        <v>August</v>
      </c>
      <c r="G653" t="s">
        <v>19</v>
      </c>
      <c r="H653" t="s">
        <v>9</v>
      </c>
      <c r="I653" t="s">
        <v>3</v>
      </c>
      <c r="J653" t="str">
        <f t="shared" si="21"/>
        <v>Error: Should be None</v>
      </c>
      <c r="K653">
        <v>6</v>
      </c>
      <c r="L653" s="2">
        <v>447.39</v>
      </c>
      <c r="M653" t="s">
        <v>4</v>
      </c>
    </row>
    <row r="654" spans="1:13" x14ac:dyDescent="0.35">
      <c r="A654">
        <v>653</v>
      </c>
      <c r="B654">
        <v>29</v>
      </c>
      <c r="C65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54" t="s">
        <v>5</v>
      </c>
      <c r="E654" s="1">
        <v>45495</v>
      </c>
      <c r="F654" s="1" t="str">
        <f t="shared" si="20"/>
        <v>July</v>
      </c>
      <c r="G654" t="s">
        <v>19</v>
      </c>
      <c r="H654" t="s">
        <v>14</v>
      </c>
      <c r="I654" t="s">
        <v>20</v>
      </c>
      <c r="J654" t="str">
        <f t="shared" si="21"/>
        <v>Error: Should be None</v>
      </c>
      <c r="K654">
        <v>10</v>
      </c>
      <c r="L654" s="2">
        <v>85.89</v>
      </c>
      <c r="M654" t="s">
        <v>10</v>
      </c>
    </row>
    <row r="655" spans="1:13" x14ac:dyDescent="0.35">
      <c r="A655">
        <v>654</v>
      </c>
      <c r="B655">
        <v>79</v>
      </c>
      <c r="C655" t="str">
        <f>IF(Hospital[[#This Row],[Age]]&lt;=12,"Child",
IF(Hospital[[#This Row],[Age]]&lt;=19,"Teen",
IF(Hospital[[#This Row],[Age]]&lt;=35,"Young Adult",
IF(Hospital[[#This Row],[Age]]&lt;=59,"Adult",
"Senior"))))</f>
        <v>Senior</v>
      </c>
      <c r="D655" t="s">
        <v>5</v>
      </c>
      <c r="E655" s="1">
        <v>45460</v>
      </c>
      <c r="F655" s="1" t="str">
        <f t="shared" si="20"/>
        <v>June</v>
      </c>
      <c r="G655" t="s">
        <v>6</v>
      </c>
      <c r="H655" t="s">
        <v>7</v>
      </c>
      <c r="I655" t="s">
        <v>3</v>
      </c>
      <c r="J655" t="str">
        <f t="shared" si="21"/>
        <v>Error: Should be None</v>
      </c>
      <c r="K655">
        <v>3</v>
      </c>
      <c r="L655" s="2">
        <v>294.99</v>
      </c>
      <c r="M655" t="s">
        <v>10</v>
      </c>
    </row>
    <row r="656" spans="1:13" x14ac:dyDescent="0.35">
      <c r="A656">
        <v>655</v>
      </c>
      <c r="B656">
        <v>43</v>
      </c>
      <c r="C656" t="str">
        <f>IF(Hospital[[#This Row],[Age]]&lt;=12,"Child",
IF(Hospital[[#This Row],[Age]]&lt;=19,"Teen",
IF(Hospital[[#This Row],[Age]]&lt;=35,"Young Adult",
IF(Hospital[[#This Row],[Age]]&lt;=59,"Adult",
"Senior"))))</f>
        <v>Adult</v>
      </c>
      <c r="D656" t="s">
        <v>0</v>
      </c>
      <c r="E656" s="1">
        <v>45246</v>
      </c>
      <c r="F656" s="1" t="str">
        <f t="shared" si="20"/>
        <v>November</v>
      </c>
      <c r="G656" t="s">
        <v>1</v>
      </c>
      <c r="H656" t="s">
        <v>9</v>
      </c>
      <c r="I656" t="s">
        <v>3</v>
      </c>
      <c r="J656" t="str">
        <f t="shared" si="21"/>
        <v>Error: Should be None</v>
      </c>
      <c r="K656">
        <v>3</v>
      </c>
      <c r="L656" s="2">
        <v>333.19</v>
      </c>
      <c r="M656" t="s">
        <v>8</v>
      </c>
    </row>
    <row r="657" spans="1:13" x14ac:dyDescent="0.35">
      <c r="A657">
        <v>656</v>
      </c>
      <c r="B657">
        <v>68</v>
      </c>
      <c r="C657" t="str">
        <f>IF(Hospital[[#This Row],[Age]]&lt;=12,"Child",
IF(Hospital[[#This Row],[Age]]&lt;=19,"Teen",
IF(Hospital[[#This Row],[Age]]&lt;=35,"Young Adult",
IF(Hospital[[#This Row],[Age]]&lt;=59,"Adult",
"Senior"))))</f>
        <v>Senior</v>
      </c>
      <c r="D657" t="s">
        <v>5</v>
      </c>
      <c r="E657" s="1">
        <v>45068</v>
      </c>
      <c r="F657" s="1" t="str">
        <f t="shared" si="20"/>
        <v>May</v>
      </c>
      <c r="G657" t="s">
        <v>6</v>
      </c>
      <c r="H657" t="s">
        <v>14</v>
      </c>
      <c r="I657" t="s">
        <v>13</v>
      </c>
      <c r="J657" t="str">
        <f t="shared" si="21"/>
        <v>Error: Should be None</v>
      </c>
      <c r="K657">
        <v>10</v>
      </c>
      <c r="L657" s="2">
        <v>467.85</v>
      </c>
      <c r="M657" t="s">
        <v>8</v>
      </c>
    </row>
    <row r="658" spans="1:13" x14ac:dyDescent="0.35">
      <c r="A658">
        <v>657</v>
      </c>
      <c r="B658">
        <v>72</v>
      </c>
      <c r="C658" t="str">
        <f>IF(Hospital[[#This Row],[Age]]&lt;=12,"Child",
IF(Hospital[[#This Row],[Age]]&lt;=19,"Teen",
IF(Hospital[[#This Row],[Age]]&lt;=35,"Young Adult",
IF(Hospital[[#This Row],[Age]]&lt;=59,"Adult",
"Senior"))))</f>
        <v>Senior</v>
      </c>
      <c r="D658" t="s">
        <v>5</v>
      </c>
      <c r="E658" s="1">
        <v>45252</v>
      </c>
      <c r="F658" s="1" t="str">
        <f t="shared" si="20"/>
        <v>November</v>
      </c>
      <c r="G658" t="s">
        <v>1</v>
      </c>
      <c r="H658" t="s">
        <v>2</v>
      </c>
      <c r="I658" t="s">
        <v>3</v>
      </c>
      <c r="J658" t="str">
        <f t="shared" si="21"/>
        <v>Error: Should be None</v>
      </c>
      <c r="K658">
        <v>5</v>
      </c>
      <c r="L658" s="2">
        <v>422.97</v>
      </c>
      <c r="M658" t="s">
        <v>8</v>
      </c>
    </row>
    <row r="659" spans="1:13" x14ac:dyDescent="0.35">
      <c r="A659">
        <v>658</v>
      </c>
      <c r="B659">
        <v>53</v>
      </c>
      <c r="C659" t="str">
        <f>IF(Hospital[[#This Row],[Age]]&lt;=12,"Child",
IF(Hospital[[#This Row],[Age]]&lt;=19,"Teen",
IF(Hospital[[#This Row],[Age]]&lt;=35,"Young Adult",
IF(Hospital[[#This Row],[Age]]&lt;=59,"Adult",
"Senior"))))</f>
        <v>Adult</v>
      </c>
      <c r="D659" t="s">
        <v>0</v>
      </c>
      <c r="E659" s="1">
        <v>44957</v>
      </c>
      <c r="F659" s="1" t="str">
        <f t="shared" si="20"/>
        <v>January</v>
      </c>
      <c r="G659" t="s">
        <v>19</v>
      </c>
      <c r="H659" t="s">
        <v>14</v>
      </c>
      <c r="I659" t="s">
        <v>20</v>
      </c>
      <c r="J659" t="str">
        <f t="shared" si="21"/>
        <v>Error: Should be None</v>
      </c>
      <c r="K659">
        <v>10</v>
      </c>
      <c r="L659" s="2">
        <v>467.96</v>
      </c>
      <c r="M659" t="s">
        <v>16</v>
      </c>
    </row>
    <row r="660" spans="1:13" x14ac:dyDescent="0.35">
      <c r="A660">
        <v>659</v>
      </c>
      <c r="B660">
        <v>14</v>
      </c>
      <c r="C660" t="str">
        <f>IF(Hospital[[#This Row],[Age]]&lt;=12,"Child",
IF(Hospital[[#This Row],[Age]]&lt;=19,"Teen",
IF(Hospital[[#This Row],[Age]]&lt;=35,"Young Adult",
IF(Hospital[[#This Row],[Age]]&lt;=59,"Adult",
"Senior"))))</f>
        <v>Teen</v>
      </c>
      <c r="D660" t="s">
        <v>5</v>
      </c>
      <c r="E660" s="1">
        <v>45082</v>
      </c>
      <c r="F660" s="1" t="str">
        <f t="shared" si="20"/>
        <v>June</v>
      </c>
      <c r="G660" t="s">
        <v>1</v>
      </c>
      <c r="H660" t="s">
        <v>17</v>
      </c>
      <c r="I660" t="s">
        <v>15</v>
      </c>
      <c r="J660" t="str">
        <f t="shared" si="21"/>
        <v>Error: Should be None</v>
      </c>
      <c r="K660">
        <v>9</v>
      </c>
      <c r="L660" s="2">
        <v>316.13</v>
      </c>
      <c r="M660" t="s">
        <v>8</v>
      </c>
    </row>
    <row r="661" spans="1:13" x14ac:dyDescent="0.35">
      <c r="A661">
        <v>660</v>
      </c>
      <c r="B661">
        <v>30</v>
      </c>
      <c r="C66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61" t="s">
        <v>5</v>
      </c>
      <c r="E661" s="1">
        <v>45537</v>
      </c>
      <c r="F661" s="1" t="str">
        <f t="shared" si="20"/>
        <v>September</v>
      </c>
      <c r="G661" t="s">
        <v>19</v>
      </c>
      <c r="H661" t="s">
        <v>17</v>
      </c>
      <c r="I661" t="s">
        <v>15</v>
      </c>
      <c r="J661" t="str">
        <f t="shared" si="21"/>
        <v>Error: Should be None</v>
      </c>
      <c r="K661">
        <v>7</v>
      </c>
      <c r="L661" s="2">
        <v>84.36</v>
      </c>
      <c r="M661" t="s">
        <v>10</v>
      </c>
    </row>
    <row r="662" spans="1:13" x14ac:dyDescent="0.35">
      <c r="A662">
        <v>661</v>
      </c>
      <c r="B662">
        <v>48</v>
      </c>
      <c r="C662" t="str">
        <f>IF(Hospital[[#This Row],[Age]]&lt;=12,"Child",
IF(Hospital[[#This Row],[Age]]&lt;=19,"Teen",
IF(Hospital[[#This Row],[Age]]&lt;=35,"Young Adult",
IF(Hospital[[#This Row],[Age]]&lt;=59,"Adult",
"Senior"))))</f>
        <v>Adult</v>
      </c>
      <c r="D662" t="s">
        <v>5</v>
      </c>
      <c r="E662" s="1">
        <v>45656</v>
      </c>
      <c r="F662" s="1" t="str">
        <f t="shared" si="20"/>
        <v>December</v>
      </c>
      <c r="G662" t="s">
        <v>6</v>
      </c>
      <c r="H662" t="s">
        <v>7</v>
      </c>
      <c r="I662" t="s">
        <v>3</v>
      </c>
      <c r="J662" t="str">
        <f t="shared" si="21"/>
        <v>Error: Should be None</v>
      </c>
      <c r="K662">
        <v>7</v>
      </c>
      <c r="L662" s="2">
        <v>247.45</v>
      </c>
      <c r="M662" t="s">
        <v>8</v>
      </c>
    </row>
    <row r="663" spans="1:13" x14ac:dyDescent="0.35">
      <c r="A663">
        <v>662</v>
      </c>
      <c r="B663">
        <v>5</v>
      </c>
      <c r="C663" t="str">
        <f>IF(Hospital[[#This Row],[Age]]&lt;=12,"Child",
IF(Hospital[[#This Row],[Age]]&lt;=19,"Teen",
IF(Hospital[[#This Row],[Age]]&lt;=35,"Young Adult",
IF(Hospital[[#This Row],[Age]]&lt;=59,"Adult",
"Senior"))))</f>
        <v>Child</v>
      </c>
      <c r="D663" t="s">
        <v>0</v>
      </c>
      <c r="E663" s="1">
        <v>45124</v>
      </c>
      <c r="F663" s="1" t="str">
        <f t="shared" si="20"/>
        <v>July</v>
      </c>
      <c r="G663" t="s">
        <v>11</v>
      </c>
      <c r="H663" t="s">
        <v>17</v>
      </c>
      <c r="I663" t="s">
        <v>18</v>
      </c>
      <c r="J663" t="str">
        <f t="shared" si="21"/>
        <v>Error: Should be None</v>
      </c>
      <c r="K663">
        <v>6</v>
      </c>
      <c r="L663" s="2">
        <v>126.83</v>
      </c>
      <c r="M663" t="s">
        <v>8</v>
      </c>
    </row>
    <row r="664" spans="1:13" x14ac:dyDescent="0.35">
      <c r="A664">
        <v>663</v>
      </c>
      <c r="B664">
        <v>23</v>
      </c>
      <c r="C66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64" t="s">
        <v>0</v>
      </c>
      <c r="E664" s="1">
        <v>45136</v>
      </c>
      <c r="F664" s="1" t="str">
        <f t="shared" si="20"/>
        <v>July</v>
      </c>
      <c r="G664" t="s">
        <v>6</v>
      </c>
      <c r="H664" t="s">
        <v>2</v>
      </c>
      <c r="I664" t="s">
        <v>3</v>
      </c>
      <c r="J664" t="str">
        <f t="shared" si="21"/>
        <v>Error: Should be None</v>
      </c>
      <c r="K664">
        <v>5</v>
      </c>
      <c r="L664" s="2">
        <v>436.05</v>
      </c>
      <c r="M664" t="s">
        <v>8</v>
      </c>
    </row>
    <row r="665" spans="1:13" x14ac:dyDescent="0.35">
      <c r="A665">
        <v>664</v>
      </c>
      <c r="B665">
        <v>6</v>
      </c>
      <c r="C665" t="str">
        <f>IF(Hospital[[#This Row],[Age]]&lt;=12,"Child",
IF(Hospital[[#This Row],[Age]]&lt;=19,"Teen",
IF(Hospital[[#This Row],[Age]]&lt;=35,"Young Adult",
IF(Hospital[[#This Row],[Age]]&lt;=59,"Adult",
"Senior"))))</f>
        <v>Child</v>
      </c>
      <c r="D665" t="s">
        <v>0</v>
      </c>
      <c r="E665" s="1">
        <v>45364</v>
      </c>
      <c r="F665" s="1" t="str">
        <f t="shared" si="20"/>
        <v>March</v>
      </c>
      <c r="G665" t="s">
        <v>19</v>
      </c>
      <c r="H665" t="s">
        <v>12</v>
      </c>
      <c r="I665" t="s">
        <v>20</v>
      </c>
      <c r="J665" t="str">
        <f t="shared" si="21"/>
        <v>Error: Should be None</v>
      </c>
      <c r="K665">
        <v>9</v>
      </c>
      <c r="L665" s="2">
        <v>470.79</v>
      </c>
      <c r="M665" t="s">
        <v>4</v>
      </c>
    </row>
    <row r="666" spans="1:13" x14ac:dyDescent="0.35">
      <c r="A666">
        <v>665</v>
      </c>
      <c r="B666">
        <v>58</v>
      </c>
      <c r="C666" t="str">
        <f>IF(Hospital[[#This Row],[Age]]&lt;=12,"Child",
IF(Hospital[[#This Row],[Age]]&lt;=19,"Teen",
IF(Hospital[[#This Row],[Age]]&lt;=35,"Young Adult",
IF(Hospital[[#This Row],[Age]]&lt;=59,"Adult",
"Senior"))))</f>
        <v>Adult</v>
      </c>
      <c r="D666" t="s">
        <v>0</v>
      </c>
      <c r="E666" s="1">
        <v>45460</v>
      </c>
      <c r="F666" s="1" t="str">
        <f t="shared" si="20"/>
        <v>June</v>
      </c>
      <c r="G666" t="s">
        <v>11</v>
      </c>
      <c r="H666" t="s">
        <v>2</v>
      </c>
      <c r="I666" t="s">
        <v>3</v>
      </c>
      <c r="J666" t="str">
        <f t="shared" si="21"/>
        <v>Error: Should be None</v>
      </c>
      <c r="K666">
        <v>3</v>
      </c>
      <c r="L666" s="2">
        <v>268.98</v>
      </c>
      <c r="M666" t="s">
        <v>10</v>
      </c>
    </row>
    <row r="667" spans="1:13" x14ac:dyDescent="0.35">
      <c r="A667">
        <v>666</v>
      </c>
      <c r="B667">
        <v>50</v>
      </c>
      <c r="C667" t="str">
        <f>IF(Hospital[[#This Row],[Age]]&lt;=12,"Child",
IF(Hospital[[#This Row],[Age]]&lt;=19,"Teen",
IF(Hospital[[#This Row],[Age]]&lt;=35,"Young Adult",
IF(Hospital[[#This Row],[Age]]&lt;=59,"Adult",
"Senior"))))</f>
        <v>Adult</v>
      </c>
      <c r="D667" t="s">
        <v>5</v>
      </c>
      <c r="E667" s="1">
        <v>44967</v>
      </c>
      <c r="F667" s="1" t="str">
        <f t="shared" si="20"/>
        <v>February</v>
      </c>
      <c r="G667" t="s">
        <v>1</v>
      </c>
      <c r="H667" t="s">
        <v>9</v>
      </c>
      <c r="I667" t="s">
        <v>3</v>
      </c>
      <c r="J667" t="str">
        <f t="shared" si="21"/>
        <v>Error: Should be None</v>
      </c>
      <c r="K667">
        <v>4</v>
      </c>
      <c r="L667" s="2">
        <v>230.99</v>
      </c>
      <c r="M667" t="s">
        <v>16</v>
      </c>
    </row>
    <row r="668" spans="1:13" x14ac:dyDescent="0.35">
      <c r="A668">
        <v>667</v>
      </c>
      <c r="B668">
        <v>22</v>
      </c>
      <c r="C66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68" t="s">
        <v>0</v>
      </c>
      <c r="E668" s="1">
        <v>45219</v>
      </c>
      <c r="F668" s="1" t="str">
        <f t="shared" si="20"/>
        <v>October</v>
      </c>
      <c r="G668" t="s">
        <v>19</v>
      </c>
      <c r="H668" t="s">
        <v>12</v>
      </c>
      <c r="I668" t="s">
        <v>3</v>
      </c>
      <c r="J668" t="str">
        <f t="shared" si="21"/>
        <v>Error: Should be None</v>
      </c>
      <c r="K668">
        <v>0</v>
      </c>
      <c r="L668" s="2">
        <v>351.18</v>
      </c>
      <c r="M668" t="s">
        <v>8</v>
      </c>
    </row>
    <row r="669" spans="1:13" x14ac:dyDescent="0.35">
      <c r="A669">
        <v>668</v>
      </c>
      <c r="B669">
        <v>58</v>
      </c>
      <c r="C669" t="str">
        <f>IF(Hospital[[#This Row],[Age]]&lt;=12,"Child",
IF(Hospital[[#This Row],[Age]]&lt;=19,"Teen",
IF(Hospital[[#This Row],[Age]]&lt;=35,"Young Adult",
IF(Hospital[[#This Row],[Age]]&lt;=59,"Adult",
"Senior"))))</f>
        <v>Adult</v>
      </c>
      <c r="D669" t="s">
        <v>5</v>
      </c>
      <c r="E669" s="1">
        <v>45401</v>
      </c>
      <c r="F669" s="1" t="str">
        <f t="shared" si="20"/>
        <v>April</v>
      </c>
      <c r="G669" t="s">
        <v>11</v>
      </c>
      <c r="H669" t="s">
        <v>7</v>
      </c>
      <c r="I669" t="s">
        <v>3</v>
      </c>
      <c r="J669" t="str">
        <f t="shared" si="21"/>
        <v>Error: Should be None</v>
      </c>
      <c r="K669">
        <v>2</v>
      </c>
      <c r="L669" s="2">
        <v>393.79</v>
      </c>
      <c r="M669" t="s">
        <v>8</v>
      </c>
    </row>
    <row r="670" spans="1:13" x14ac:dyDescent="0.35">
      <c r="A670">
        <v>669</v>
      </c>
      <c r="B670">
        <v>42</v>
      </c>
      <c r="C670" t="str">
        <f>IF(Hospital[[#This Row],[Age]]&lt;=12,"Child",
IF(Hospital[[#This Row],[Age]]&lt;=19,"Teen",
IF(Hospital[[#This Row],[Age]]&lt;=35,"Young Adult",
IF(Hospital[[#This Row],[Age]]&lt;=59,"Adult",
"Senior"))))</f>
        <v>Adult</v>
      </c>
      <c r="D670" t="s">
        <v>0</v>
      </c>
      <c r="E670" s="1">
        <v>45329</v>
      </c>
      <c r="F670" s="1" t="str">
        <f t="shared" si="20"/>
        <v>February</v>
      </c>
      <c r="G670" t="s">
        <v>11</v>
      </c>
      <c r="H670" t="s">
        <v>12</v>
      </c>
      <c r="I670" t="s">
        <v>13</v>
      </c>
      <c r="J670" t="str">
        <f t="shared" si="21"/>
        <v>Error: Should be None</v>
      </c>
      <c r="K670">
        <v>7</v>
      </c>
      <c r="L670" s="2">
        <v>303.35000000000002</v>
      </c>
      <c r="M670" t="s">
        <v>8</v>
      </c>
    </row>
    <row r="671" spans="1:13" x14ac:dyDescent="0.35">
      <c r="A671">
        <v>670</v>
      </c>
      <c r="B671">
        <v>33</v>
      </c>
      <c r="C67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71" t="s">
        <v>0</v>
      </c>
      <c r="E671" s="1">
        <v>45392</v>
      </c>
      <c r="F671" s="1" t="str">
        <f t="shared" si="20"/>
        <v>April</v>
      </c>
      <c r="G671" t="s">
        <v>1</v>
      </c>
      <c r="H671" t="s">
        <v>2</v>
      </c>
      <c r="I671" t="s">
        <v>3</v>
      </c>
      <c r="J671" t="str">
        <f t="shared" si="21"/>
        <v>Error: Should be None</v>
      </c>
      <c r="K671">
        <v>1</v>
      </c>
      <c r="L671" s="2">
        <v>63.77</v>
      </c>
      <c r="M671" t="s">
        <v>10</v>
      </c>
    </row>
    <row r="672" spans="1:13" x14ac:dyDescent="0.35">
      <c r="A672">
        <v>671</v>
      </c>
      <c r="B672">
        <v>11</v>
      </c>
      <c r="C672" t="str">
        <f>IF(Hospital[[#This Row],[Age]]&lt;=12,"Child",
IF(Hospital[[#This Row],[Age]]&lt;=19,"Teen",
IF(Hospital[[#This Row],[Age]]&lt;=35,"Young Adult",
IF(Hospital[[#This Row],[Age]]&lt;=59,"Adult",
"Senior"))))</f>
        <v>Child</v>
      </c>
      <c r="D672" t="s">
        <v>0</v>
      </c>
      <c r="E672" s="1">
        <v>45576</v>
      </c>
      <c r="F672" s="1" t="str">
        <f t="shared" si="20"/>
        <v>October</v>
      </c>
      <c r="G672" t="s">
        <v>1</v>
      </c>
      <c r="H672" t="s">
        <v>14</v>
      </c>
      <c r="I672" t="s">
        <v>20</v>
      </c>
      <c r="J672" t="str">
        <f t="shared" si="21"/>
        <v>Error: Should be None</v>
      </c>
      <c r="K672">
        <v>8</v>
      </c>
      <c r="L672" s="2">
        <v>202.69</v>
      </c>
      <c r="M672" t="s">
        <v>8</v>
      </c>
    </row>
    <row r="673" spans="1:13" x14ac:dyDescent="0.35">
      <c r="A673">
        <v>672</v>
      </c>
      <c r="B673">
        <v>85</v>
      </c>
      <c r="C673" t="str">
        <f>IF(Hospital[[#This Row],[Age]]&lt;=12,"Child",
IF(Hospital[[#This Row],[Age]]&lt;=19,"Teen",
IF(Hospital[[#This Row],[Age]]&lt;=35,"Young Adult",
IF(Hospital[[#This Row],[Age]]&lt;=59,"Adult",
"Senior"))))</f>
        <v>Senior</v>
      </c>
      <c r="D673" t="s">
        <v>5</v>
      </c>
      <c r="E673" s="1">
        <v>45270</v>
      </c>
      <c r="F673" s="1" t="str">
        <f t="shared" si="20"/>
        <v>December</v>
      </c>
      <c r="G673" t="s">
        <v>1</v>
      </c>
      <c r="H673" t="s">
        <v>9</v>
      </c>
      <c r="I673" t="s">
        <v>3</v>
      </c>
      <c r="J673" t="str">
        <f t="shared" si="21"/>
        <v>Error: Should be None</v>
      </c>
      <c r="K673">
        <v>2</v>
      </c>
      <c r="L673" s="2">
        <v>105.86</v>
      </c>
      <c r="M673" t="s">
        <v>4</v>
      </c>
    </row>
    <row r="674" spans="1:13" x14ac:dyDescent="0.35">
      <c r="A674">
        <v>673</v>
      </c>
      <c r="B674">
        <v>40</v>
      </c>
      <c r="C674" t="str">
        <f>IF(Hospital[[#This Row],[Age]]&lt;=12,"Child",
IF(Hospital[[#This Row],[Age]]&lt;=19,"Teen",
IF(Hospital[[#This Row],[Age]]&lt;=35,"Young Adult",
IF(Hospital[[#This Row],[Age]]&lt;=59,"Adult",
"Senior"))))</f>
        <v>Adult</v>
      </c>
      <c r="D674" t="s">
        <v>0</v>
      </c>
      <c r="E674" s="1">
        <v>45356</v>
      </c>
      <c r="F674" s="1" t="str">
        <f t="shared" si="20"/>
        <v>March</v>
      </c>
      <c r="G674" t="s">
        <v>19</v>
      </c>
      <c r="H674" t="s">
        <v>14</v>
      </c>
      <c r="I674" t="s">
        <v>13</v>
      </c>
      <c r="J674" t="str">
        <f t="shared" si="21"/>
        <v>Error: Should be None</v>
      </c>
      <c r="K674">
        <v>1</v>
      </c>
      <c r="L674" s="2">
        <v>451.3</v>
      </c>
      <c r="M674" t="s">
        <v>8</v>
      </c>
    </row>
    <row r="675" spans="1:13" x14ac:dyDescent="0.35">
      <c r="A675">
        <v>674</v>
      </c>
      <c r="B675">
        <v>33</v>
      </c>
      <c r="C67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75" t="s">
        <v>5</v>
      </c>
      <c r="E675" s="1">
        <v>44930</v>
      </c>
      <c r="F675" s="1" t="str">
        <f t="shared" si="20"/>
        <v>January</v>
      </c>
      <c r="G675" t="s">
        <v>6</v>
      </c>
      <c r="H675" t="s">
        <v>9</v>
      </c>
      <c r="I675" t="s">
        <v>3</v>
      </c>
      <c r="J675" t="str">
        <f t="shared" si="21"/>
        <v>Error: Should be None</v>
      </c>
      <c r="K675">
        <v>7</v>
      </c>
      <c r="L675" s="2">
        <v>430.6</v>
      </c>
      <c r="M675" t="s">
        <v>4</v>
      </c>
    </row>
    <row r="676" spans="1:13" x14ac:dyDescent="0.35">
      <c r="A676">
        <v>675</v>
      </c>
      <c r="B676">
        <v>31</v>
      </c>
      <c r="C67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76" t="s">
        <v>5</v>
      </c>
      <c r="E676" s="1">
        <v>45549</v>
      </c>
      <c r="F676" s="1" t="str">
        <f t="shared" si="20"/>
        <v>September</v>
      </c>
      <c r="G676" t="s">
        <v>6</v>
      </c>
      <c r="H676" t="s">
        <v>12</v>
      </c>
      <c r="I676" t="s">
        <v>20</v>
      </c>
      <c r="J676" t="str">
        <f t="shared" si="21"/>
        <v>Error: Should be None</v>
      </c>
      <c r="K676">
        <v>6</v>
      </c>
      <c r="L676" s="2">
        <v>232.1</v>
      </c>
      <c r="M676" t="s">
        <v>4</v>
      </c>
    </row>
    <row r="677" spans="1:13" x14ac:dyDescent="0.35">
      <c r="A677">
        <v>676</v>
      </c>
      <c r="B677">
        <v>36</v>
      </c>
      <c r="C677" t="str">
        <f>IF(Hospital[[#This Row],[Age]]&lt;=12,"Child",
IF(Hospital[[#This Row],[Age]]&lt;=19,"Teen",
IF(Hospital[[#This Row],[Age]]&lt;=35,"Young Adult",
IF(Hospital[[#This Row],[Age]]&lt;=59,"Adult",
"Senior"))))</f>
        <v>Adult</v>
      </c>
      <c r="D677" t="s">
        <v>5</v>
      </c>
      <c r="E677" s="1">
        <v>45177</v>
      </c>
      <c r="F677" s="1" t="str">
        <f t="shared" si="20"/>
        <v>September</v>
      </c>
      <c r="G677" t="s">
        <v>11</v>
      </c>
      <c r="H677" t="s">
        <v>9</v>
      </c>
      <c r="I677" t="s">
        <v>3</v>
      </c>
      <c r="J677" t="str">
        <f t="shared" si="21"/>
        <v>Error: Should be None</v>
      </c>
      <c r="K677">
        <v>2</v>
      </c>
      <c r="L677" s="2">
        <v>91.16</v>
      </c>
      <c r="M677" t="s">
        <v>16</v>
      </c>
    </row>
    <row r="678" spans="1:13" x14ac:dyDescent="0.35">
      <c r="A678">
        <v>677</v>
      </c>
      <c r="B678">
        <v>5</v>
      </c>
      <c r="C678" t="str">
        <f>IF(Hospital[[#This Row],[Age]]&lt;=12,"Child",
IF(Hospital[[#This Row],[Age]]&lt;=19,"Teen",
IF(Hospital[[#This Row],[Age]]&lt;=35,"Young Adult",
IF(Hospital[[#This Row],[Age]]&lt;=59,"Adult",
"Senior"))))</f>
        <v>Child</v>
      </c>
      <c r="D678" t="s">
        <v>0</v>
      </c>
      <c r="E678" s="1">
        <v>44964</v>
      </c>
      <c r="F678" s="1" t="str">
        <f t="shared" si="20"/>
        <v>February</v>
      </c>
      <c r="G678" t="s">
        <v>19</v>
      </c>
      <c r="H678" t="s">
        <v>17</v>
      </c>
      <c r="I678" t="s">
        <v>15</v>
      </c>
      <c r="J678" t="str">
        <f t="shared" si="21"/>
        <v>Error: Should be None</v>
      </c>
      <c r="K678">
        <v>0</v>
      </c>
      <c r="L678" s="2">
        <v>72.27</v>
      </c>
      <c r="M678" t="s">
        <v>8</v>
      </c>
    </row>
    <row r="679" spans="1:13" x14ac:dyDescent="0.35">
      <c r="A679">
        <v>678</v>
      </c>
      <c r="B679">
        <v>37</v>
      </c>
      <c r="C679" t="str">
        <f>IF(Hospital[[#This Row],[Age]]&lt;=12,"Child",
IF(Hospital[[#This Row],[Age]]&lt;=19,"Teen",
IF(Hospital[[#This Row],[Age]]&lt;=35,"Young Adult",
IF(Hospital[[#This Row],[Age]]&lt;=59,"Adult",
"Senior"))))</f>
        <v>Adult</v>
      </c>
      <c r="D679" t="s">
        <v>5</v>
      </c>
      <c r="E679" s="1">
        <v>45092</v>
      </c>
      <c r="F679" s="1" t="str">
        <f t="shared" si="20"/>
        <v>June</v>
      </c>
      <c r="G679" t="s">
        <v>6</v>
      </c>
      <c r="H679" t="s">
        <v>7</v>
      </c>
      <c r="I679" t="s">
        <v>3</v>
      </c>
      <c r="J679" t="str">
        <f t="shared" si="21"/>
        <v>Error: Should be None</v>
      </c>
      <c r="K679">
        <v>9</v>
      </c>
      <c r="L679" s="2">
        <v>192.89</v>
      </c>
      <c r="M679" t="s">
        <v>4</v>
      </c>
    </row>
    <row r="680" spans="1:13" x14ac:dyDescent="0.35">
      <c r="A680">
        <v>679</v>
      </c>
      <c r="B680">
        <v>42</v>
      </c>
      <c r="C680" t="str">
        <f>IF(Hospital[[#This Row],[Age]]&lt;=12,"Child",
IF(Hospital[[#This Row],[Age]]&lt;=19,"Teen",
IF(Hospital[[#This Row],[Age]]&lt;=35,"Young Adult",
IF(Hospital[[#This Row],[Age]]&lt;=59,"Adult",
"Senior"))))</f>
        <v>Adult</v>
      </c>
      <c r="D680" t="s">
        <v>0</v>
      </c>
      <c r="E680" s="1">
        <v>45022</v>
      </c>
      <c r="F680" s="1" t="str">
        <f t="shared" si="20"/>
        <v>April</v>
      </c>
      <c r="G680" t="s">
        <v>6</v>
      </c>
      <c r="H680" t="s">
        <v>14</v>
      </c>
      <c r="I680" t="s">
        <v>15</v>
      </c>
      <c r="J680" t="str">
        <f t="shared" si="21"/>
        <v>Error: Should be None</v>
      </c>
      <c r="K680">
        <v>6</v>
      </c>
      <c r="L680" s="2">
        <v>424.79</v>
      </c>
      <c r="M680" t="s">
        <v>4</v>
      </c>
    </row>
    <row r="681" spans="1:13" x14ac:dyDescent="0.35">
      <c r="A681">
        <v>680</v>
      </c>
      <c r="B681">
        <v>18</v>
      </c>
      <c r="C681" t="str">
        <f>IF(Hospital[[#This Row],[Age]]&lt;=12,"Child",
IF(Hospital[[#This Row],[Age]]&lt;=19,"Teen",
IF(Hospital[[#This Row],[Age]]&lt;=35,"Young Adult",
IF(Hospital[[#This Row],[Age]]&lt;=59,"Adult",
"Senior"))))</f>
        <v>Teen</v>
      </c>
      <c r="D681" t="s">
        <v>5</v>
      </c>
      <c r="E681" s="1">
        <v>45226</v>
      </c>
      <c r="F681" s="1" t="str">
        <f t="shared" si="20"/>
        <v>October</v>
      </c>
      <c r="G681" t="s">
        <v>19</v>
      </c>
      <c r="H681" t="s">
        <v>12</v>
      </c>
      <c r="I681" t="s">
        <v>18</v>
      </c>
      <c r="J681" t="str">
        <f t="shared" si="21"/>
        <v>Error: Should be None</v>
      </c>
      <c r="K681">
        <v>8</v>
      </c>
      <c r="L681" s="2">
        <v>218.6</v>
      </c>
      <c r="M681" t="s">
        <v>8</v>
      </c>
    </row>
    <row r="682" spans="1:13" x14ac:dyDescent="0.35">
      <c r="A682">
        <v>681</v>
      </c>
      <c r="B682">
        <v>79</v>
      </c>
      <c r="C682" t="str">
        <f>IF(Hospital[[#This Row],[Age]]&lt;=12,"Child",
IF(Hospital[[#This Row],[Age]]&lt;=19,"Teen",
IF(Hospital[[#This Row],[Age]]&lt;=35,"Young Adult",
IF(Hospital[[#This Row],[Age]]&lt;=59,"Adult",
"Senior"))))</f>
        <v>Senior</v>
      </c>
      <c r="D682" t="s">
        <v>5</v>
      </c>
      <c r="E682" s="1">
        <v>45639</v>
      </c>
      <c r="F682" s="1" t="str">
        <f t="shared" si="20"/>
        <v>December</v>
      </c>
      <c r="G682" t="s">
        <v>11</v>
      </c>
      <c r="H682" t="s">
        <v>17</v>
      </c>
      <c r="I682" t="s">
        <v>3</v>
      </c>
      <c r="J682" t="str">
        <f t="shared" si="21"/>
        <v>Error: Should be None</v>
      </c>
      <c r="K682">
        <v>10</v>
      </c>
      <c r="L682" s="2">
        <v>273.89</v>
      </c>
      <c r="M682" t="s">
        <v>4</v>
      </c>
    </row>
    <row r="683" spans="1:13" x14ac:dyDescent="0.35">
      <c r="A683">
        <v>682</v>
      </c>
      <c r="B683">
        <v>78</v>
      </c>
      <c r="C683" t="str">
        <f>IF(Hospital[[#This Row],[Age]]&lt;=12,"Child",
IF(Hospital[[#This Row],[Age]]&lt;=19,"Teen",
IF(Hospital[[#This Row],[Age]]&lt;=35,"Young Adult",
IF(Hospital[[#This Row],[Age]]&lt;=59,"Adult",
"Senior"))))</f>
        <v>Senior</v>
      </c>
      <c r="D683" t="s">
        <v>0</v>
      </c>
      <c r="E683" s="1">
        <v>45422</v>
      </c>
      <c r="F683" s="1" t="str">
        <f t="shared" si="20"/>
        <v>May</v>
      </c>
      <c r="G683" t="s">
        <v>6</v>
      </c>
      <c r="H683" t="s">
        <v>7</v>
      </c>
      <c r="I683" t="s">
        <v>3</v>
      </c>
      <c r="J683" t="str">
        <f t="shared" si="21"/>
        <v>Error: Should be None</v>
      </c>
      <c r="K683">
        <v>9</v>
      </c>
      <c r="L683" s="2">
        <v>426.94</v>
      </c>
      <c r="M683" t="s">
        <v>16</v>
      </c>
    </row>
    <row r="684" spans="1:13" x14ac:dyDescent="0.35">
      <c r="A684">
        <v>683</v>
      </c>
      <c r="B684">
        <v>80</v>
      </c>
      <c r="C684" t="str">
        <f>IF(Hospital[[#This Row],[Age]]&lt;=12,"Child",
IF(Hospital[[#This Row],[Age]]&lt;=19,"Teen",
IF(Hospital[[#This Row],[Age]]&lt;=35,"Young Adult",
IF(Hospital[[#This Row],[Age]]&lt;=59,"Adult",
"Senior"))))</f>
        <v>Senior</v>
      </c>
      <c r="D684" t="s">
        <v>0</v>
      </c>
      <c r="E684" s="1">
        <v>45465</v>
      </c>
      <c r="F684" s="1" t="str">
        <f t="shared" si="20"/>
        <v>June</v>
      </c>
      <c r="G684" t="s">
        <v>1</v>
      </c>
      <c r="H684" t="s">
        <v>9</v>
      </c>
      <c r="I684" t="s">
        <v>3</v>
      </c>
      <c r="J684" t="str">
        <f t="shared" si="21"/>
        <v>Error: Should be None</v>
      </c>
      <c r="K684">
        <v>9</v>
      </c>
      <c r="L684" s="2">
        <v>290.06</v>
      </c>
      <c r="M684" t="s">
        <v>10</v>
      </c>
    </row>
    <row r="685" spans="1:13" x14ac:dyDescent="0.35">
      <c r="A685">
        <v>684</v>
      </c>
      <c r="B685">
        <v>79</v>
      </c>
      <c r="C685" t="str">
        <f>IF(Hospital[[#This Row],[Age]]&lt;=12,"Child",
IF(Hospital[[#This Row],[Age]]&lt;=19,"Teen",
IF(Hospital[[#This Row],[Age]]&lt;=35,"Young Adult",
IF(Hospital[[#This Row],[Age]]&lt;=59,"Adult",
"Senior"))))</f>
        <v>Senior</v>
      </c>
      <c r="D685" t="s">
        <v>5</v>
      </c>
      <c r="E685" s="1">
        <v>45431</v>
      </c>
      <c r="F685" s="1" t="str">
        <f t="shared" si="20"/>
        <v>May</v>
      </c>
      <c r="G685" t="s">
        <v>19</v>
      </c>
      <c r="H685" t="s">
        <v>17</v>
      </c>
      <c r="I685" t="s">
        <v>13</v>
      </c>
      <c r="J685" t="str">
        <f t="shared" si="21"/>
        <v>Error: Should be None</v>
      </c>
      <c r="K685">
        <v>0</v>
      </c>
      <c r="L685" s="2">
        <v>76.739999999999995</v>
      </c>
      <c r="M685" t="s">
        <v>10</v>
      </c>
    </row>
    <row r="686" spans="1:13" x14ac:dyDescent="0.35">
      <c r="A686">
        <v>685</v>
      </c>
      <c r="B686">
        <v>27</v>
      </c>
      <c r="C68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86" t="s">
        <v>0</v>
      </c>
      <c r="E686" s="1">
        <v>45567</v>
      </c>
      <c r="F686" s="1" t="str">
        <f t="shared" si="20"/>
        <v>October</v>
      </c>
      <c r="G686" t="s">
        <v>6</v>
      </c>
      <c r="H686" t="s">
        <v>2</v>
      </c>
      <c r="I686" t="s">
        <v>3</v>
      </c>
      <c r="J686" t="str">
        <f t="shared" si="21"/>
        <v>Error: Should be None</v>
      </c>
      <c r="K686">
        <v>0</v>
      </c>
      <c r="L686" s="2">
        <v>180.22</v>
      </c>
      <c r="M686" t="s">
        <v>8</v>
      </c>
    </row>
    <row r="687" spans="1:13" x14ac:dyDescent="0.35">
      <c r="A687">
        <v>686</v>
      </c>
      <c r="B687">
        <v>26</v>
      </c>
      <c r="C687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87" t="s">
        <v>0</v>
      </c>
      <c r="E687" s="1">
        <v>44938</v>
      </c>
      <c r="F687" s="1" t="str">
        <f t="shared" si="20"/>
        <v>January</v>
      </c>
      <c r="G687" t="s">
        <v>19</v>
      </c>
      <c r="H687" t="s">
        <v>7</v>
      </c>
      <c r="I687" t="s">
        <v>3</v>
      </c>
      <c r="J687" t="str">
        <f t="shared" si="21"/>
        <v>Error: Should be None</v>
      </c>
      <c r="K687">
        <v>1</v>
      </c>
      <c r="L687" s="2">
        <v>167.73</v>
      </c>
      <c r="M687" t="s">
        <v>16</v>
      </c>
    </row>
    <row r="688" spans="1:13" x14ac:dyDescent="0.35">
      <c r="A688">
        <v>687</v>
      </c>
      <c r="B688">
        <v>43</v>
      </c>
      <c r="C688" t="str">
        <f>IF(Hospital[[#This Row],[Age]]&lt;=12,"Child",
IF(Hospital[[#This Row],[Age]]&lt;=19,"Teen",
IF(Hospital[[#This Row],[Age]]&lt;=35,"Young Adult",
IF(Hospital[[#This Row],[Age]]&lt;=59,"Adult",
"Senior"))))</f>
        <v>Adult</v>
      </c>
      <c r="D688" t="s">
        <v>0</v>
      </c>
      <c r="E688" s="1">
        <v>44933</v>
      </c>
      <c r="F688" s="1" t="str">
        <f t="shared" si="20"/>
        <v>January</v>
      </c>
      <c r="G688" t="s">
        <v>6</v>
      </c>
      <c r="H688" t="s">
        <v>2</v>
      </c>
      <c r="I688" t="s">
        <v>3</v>
      </c>
      <c r="J688" t="str">
        <f t="shared" si="21"/>
        <v>Error: Should be None</v>
      </c>
      <c r="K688">
        <v>9</v>
      </c>
      <c r="L688" s="2">
        <v>315.68</v>
      </c>
      <c r="M688" t="s">
        <v>4</v>
      </c>
    </row>
    <row r="689" spans="1:13" x14ac:dyDescent="0.35">
      <c r="A689">
        <v>688</v>
      </c>
      <c r="B689">
        <v>43</v>
      </c>
      <c r="C689" t="str">
        <f>IF(Hospital[[#This Row],[Age]]&lt;=12,"Child",
IF(Hospital[[#This Row],[Age]]&lt;=19,"Teen",
IF(Hospital[[#This Row],[Age]]&lt;=35,"Young Adult",
IF(Hospital[[#This Row],[Age]]&lt;=59,"Adult",
"Senior"))))</f>
        <v>Adult</v>
      </c>
      <c r="D689" t="s">
        <v>0</v>
      </c>
      <c r="E689" s="1">
        <v>45106</v>
      </c>
      <c r="F689" s="1" t="str">
        <f t="shared" si="20"/>
        <v>June</v>
      </c>
      <c r="G689" t="s">
        <v>6</v>
      </c>
      <c r="H689" t="s">
        <v>17</v>
      </c>
      <c r="I689" t="s">
        <v>20</v>
      </c>
      <c r="J689" t="str">
        <f t="shared" si="21"/>
        <v>Error: Should be None</v>
      </c>
      <c r="K689">
        <v>0</v>
      </c>
      <c r="L689" s="2">
        <v>329.91</v>
      </c>
      <c r="M689" t="s">
        <v>10</v>
      </c>
    </row>
    <row r="690" spans="1:13" x14ac:dyDescent="0.35">
      <c r="A690">
        <v>689</v>
      </c>
      <c r="B690">
        <v>59</v>
      </c>
      <c r="C690" t="str">
        <f>IF(Hospital[[#This Row],[Age]]&lt;=12,"Child",
IF(Hospital[[#This Row],[Age]]&lt;=19,"Teen",
IF(Hospital[[#This Row],[Age]]&lt;=35,"Young Adult",
IF(Hospital[[#This Row],[Age]]&lt;=59,"Adult",
"Senior"))))</f>
        <v>Adult</v>
      </c>
      <c r="D690" t="s">
        <v>0</v>
      </c>
      <c r="E690" s="1">
        <v>45086</v>
      </c>
      <c r="F690" s="1" t="str">
        <f t="shared" si="20"/>
        <v>June</v>
      </c>
      <c r="G690" t="s">
        <v>6</v>
      </c>
      <c r="H690" t="s">
        <v>7</v>
      </c>
      <c r="I690" t="s">
        <v>3</v>
      </c>
      <c r="J690" t="str">
        <f t="shared" si="21"/>
        <v>Error: Should be None</v>
      </c>
      <c r="K690">
        <v>6</v>
      </c>
      <c r="L690" s="2">
        <v>465.34</v>
      </c>
      <c r="M690" t="s">
        <v>4</v>
      </c>
    </row>
    <row r="691" spans="1:13" x14ac:dyDescent="0.35">
      <c r="A691">
        <v>690</v>
      </c>
      <c r="B691">
        <v>73</v>
      </c>
      <c r="C691" t="str">
        <f>IF(Hospital[[#This Row],[Age]]&lt;=12,"Child",
IF(Hospital[[#This Row],[Age]]&lt;=19,"Teen",
IF(Hospital[[#This Row],[Age]]&lt;=35,"Young Adult",
IF(Hospital[[#This Row],[Age]]&lt;=59,"Adult",
"Senior"))))</f>
        <v>Senior</v>
      </c>
      <c r="D691" t="s">
        <v>0</v>
      </c>
      <c r="E691" s="1">
        <v>45460</v>
      </c>
      <c r="F691" s="1" t="str">
        <f t="shared" si="20"/>
        <v>June</v>
      </c>
      <c r="G691" t="s">
        <v>11</v>
      </c>
      <c r="H691" t="s">
        <v>14</v>
      </c>
      <c r="I691" t="s">
        <v>13</v>
      </c>
      <c r="J691" t="str">
        <f t="shared" si="21"/>
        <v>Error: Should be None</v>
      </c>
      <c r="K691">
        <v>9</v>
      </c>
      <c r="L691" s="2">
        <v>349.04</v>
      </c>
      <c r="M691" t="s">
        <v>16</v>
      </c>
    </row>
    <row r="692" spans="1:13" x14ac:dyDescent="0.35">
      <c r="A692">
        <v>691</v>
      </c>
      <c r="B692">
        <v>36</v>
      </c>
      <c r="C692" t="str">
        <f>IF(Hospital[[#This Row],[Age]]&lt;=12,"Child",
IF(Hospital[[#This Row],[Age]]&lt;=19,"Teen",
IF(Hospital[[#This Row],[Age]]&lt;=35,"Young Adult",
IF(Hospital[[#This Row],[Age]]&lt;=59,"Adult",
"Senior"))))</f>
        <v>Adult</v>
      </c>
      <c r="D692" t="s">
        <v>5</v>
      </c>
      <c r="E692" s="1">
        <v>44994</v>
      </c>
      <c r="F692" s="1" t="str">
        <f t="shared" si="20"/>
        <v>March</v>
      </c>
      <c r="G692" t="s">
        <v>19</v>
      </c>
      <c r="H692" t="s">
        <v>17</v>
      </c>
      <c r="I692" t="s">
        <v>20</v>
      </c>
      <c r="J692" t="str">
        <f t="shared" si="21"/>
        <v>Error: Should be None</v>
      </c>
      <c r="K692">
        <v>10</v>
      </c>
      <c r="L692" s="2">
        <v>276.45</v>
      </c>
      <c r="M692" t="s">
        <v>8</v>
      </c>
    </row>
    <row r="693" spans="1:13" x14ac:dyDescent="0.35">
      <c r="A693">
        <v>692</v>
      </c>
      <c r="B693">
        <v>50</v>
      </c>
      <c r="C693" t="str">
        <f>IF(Hospital[[#This Row],[Age]]&lt;=12,"Child",
IF(Hospital[[#This Row],[Age]]&lt;=19,"Teen",
IF(Hospital[[#This Row],[Age]]&lt;=35,"Young Adult",
IF(Hospital[[#This Row],[Age]]&lt;=59,"Adult",
"Senior"))))</f>
        <v>Adult</v>
      </c>
      <c r="D693" t="s">
        <v>5</v>
      </c>
      <c r="E693" s="1">
        <v>45511</v>
      </c>
      <c r="F693" s="1" t="str">
        <f t="shared" si="20"/>
        <v>August</v>
      </c>
      <c r="G693" t="s">
        <v>11</v>
      </c>
      <c r="H693" t="s">
        <v>9</v>
      </c>
      <c r="I693" t="s">
        <v>3</v>
      </c>
      <c r="J693" t="str">
        <f t="shared" si="21"/>
        <v>Error: Should be None</v>
      </c>
      <c r="K693">
        <v>4</v>
      </c>
      <c r="L693" s="2">
        <v>358.53</v>
      </c>
      <c r="M693" t="s">
        <v>16</v>
      </c>
    </row>
    <row r="694" spans="1:13" x14ac:dyDescent="0.35">
      <c r="A694">
        <v>693</v>
      </c>
      <c r="B694">
        <v>35</v>
      </c>
      <c r="C69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94" t="s">
        <v>0</v>
      </c>
      <c r="E694" s="1">
        <v>45653</v>
      </c>
      <c r="F694" s="1" t="str">
        <f t="shared" si="20"/>
        <v>December</v>
      </c>
      <c r="G694" t="s">
        <v>11</v>
      </c>
      <c r="H694" t="s">
        <v>2</v>
      </c>
      <c r="I694" t="s">
        <v>3</v>
      </c>
      <c r="J694" t="str">
        <f t="shared" si="21"/>
        <v>Error: Should be None</v>
      </c>
      <c r="K694">
        <v>7</v>
      </c>
      <c r="L694" s="2">
        <v>440.98</v>
      </c>
      <c r="M694" t="s">
        <v>16</v>
      </c>
    </row>
    <row r="695" spans="1:13" x14ac:dyDescent="0.35">
      <c r="A695">
        <v>694</v>
      </c>
      <c r="B695">
        <v>28</v>
      </c>
      <c r="C69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695" t="s">
        <v>0</v>
      </c>
      <c r="E695" s="1">
        <v>45389</v>
      </c>
      <c r="F695" s="1" t="str">
        <f t="shared" si="20"/>
        <v>April</v>
      </c>
      <c r="G695" t="s">
        <v>1</v>
      </c>
      <c r="H695" t="s">
        <v>14</v>
      </c>
      <c r="I695" t="s">
        <v>15</v>
      </c>
      <c r="J695" t="str">
        <f t="shared" si="21"/>
        <v>Error: Should be None</v>
      </c>
      <c r="K695">
        <v>5</v>
      </c>
      <c r="L695" s="2">
        <v>396.77</v>
      </c>
      <c r="M695" t="s">
        <v>8</v>
      </c>
    </row>
    <row r="696" spans="1:13" x14ac:dyDescent="0.35">
      <c r="A696">
        <v>695</v>
      </c>
      <c r="B696">
        <v>65</v>
      </c>
      <c r="C696" t="str">
        <f>IF(Hospital[[#This Row],[Age]]&lt;=12,"Child",
IF(Hospital[[#This Row],[Age]]&lt;=19,"Teen",
IF(Hospital[[#This Row],[Age]]&lt;=35,"Young Adult",
IF(Hospital[[#This Row],[Age]]&lt;=59,"Adult",
"Senior"))))</f>
        <v>Senior</v>
      </c>
      <c r="D696" t="s">
        <v>5</v>
      </c>
      <c r="E696" s="1">
        <v>45021</v>
      </c>
      <c r="F696" s="1" t="str">
        <f t="shared" si="20"/>
        <v>April</v>
      </c>
      <c r="G696" t="s">
        <v>6</v>
      </c>
      <c r="H696" t="s">
        <v>12</v>
      </c>
      <c r="I696" t="s">
        <v>3</v>
      </c>
      <c r="J696" t="str">
        <f t="shared" si="21"/>
        <v>Error: Should be None</v>
      </c>
      <c r="K696">
        <v>2</v>
      </c>
      <c r="L696" s="2">
        <v>111.3</v>
      </c>
      <c r="M696" t="s">
        <v>10</v>
      </c>
    </row>
    <row r="697" spans="1:13" x14ac:dyDescent="0.35">
      <c r="A697">
        <v>696</v>
      </c>
      <c r="B697">
        <v>42</v>
      </c>
      <c r="C697" t="str">
        <f>IF(Hospital[[#This Row],[Age]]&lt;=12,"Child",
IF(Hospital[[#This Row],[Age]]&lt;=19,"Teen",
IF(Hospital[[#This Row],[Age]]&lt;=35,"Young Adult",
IF(Hospital[[#This Row],[Age]]&lt;=59,"Adult",
"Senior"))))</f>
        <v>Adult</v>
      </c>
      <c r="D697" t="s">
        <v>5</v>
      </c>
      <c r="E697" s="1">
        <v>45463</v>
      </c>
      <c r="F697" s="1" t="str">
        <f t="shared" si="20"/>
        <v>June</v>
      </c>
      <c r="G697" t="s">
        <v>11</v>
      </c>
      <c r="H697" t="s">
        <v>14</v>
      </c>
      <c r="I697" t="s">
        <v>3</v>
      </c>
      <c r="J697" t="str">
        <f t="shared" si="21"/>
        <v>Error: Should be None</v>
      </c>
      <c r="K697">
        <v>10</v>
      </c>
      <c r="L697" s="2">
        <v>496.51</v>
      </c>
      <c r="M697" t="s">
        <v>8</v>
      </c>
    </row>
    <row r="698" spans="1:13" x14ac:dyDescent="0.35">
      <c r="A698">
        <v>697</v>
      </c>
      <c r="B698">
        <v>50</v>
      </c>
      <c r="C698" t="str">
        <f>IF(Hospital[[#This Row],[Age]]&lt;=12,"Child",
IF(Hospital[[#This Row],[Age]]&lt;=19,"Teen",
IF(Hospital[[#This Row],[Age]]&lt;=35,"Young Adult",
IF(Hospital[[#This Row],[Age]]&lt;=59,"Adult",
"Senior"))))</f>
        <v>Adult</v>
      </c>
      <c r="D698" t="s">
        <v>5</v>
      </c>
      <c r="E698" s="1">
        <v>44964</v>
      </c>
      <c r="F698" s="1" t="str">
        <f t="shared" si="20"/>
        <v>February</v>
      </c>
      <c r="G698" t="s">
        <v>11</v>
      </c>
      <c r="H698" t="s">
        <v>12</v>
      </c>
      <c r="I698" t="s">
        <v>18</v>
      </c>
      <c r="J698" t="str">
        <f t="shared" si="21"/>
        <v>Error: Should be None</v>
      </c>
      <c r="K698">
        <v>0</v>
      </c>
      <c r="L698" s="2">
        <v>349.79</v>
      </c>
      <c r="M698" t="s">
        <v>4</v>
      </c>
    </row>
    <row r="699" spans="1:13" x14ac:dyDescent="0.35">
      <c r="A699">
        <v>698</v>
      </c>
      <c r="B699">
        <v>6</v>
      </c>
      <c r="C699" t="str">
        <f>IF(Hospital[[#This Row],[Age]]&lt;=12,"Child",
IF(Hospital[[#This Row],[Age]]&lt;=19,"Teen",
IF(Hospital[[#This Row],[Age]]&lt;=35,"Young Adult",
IF(Hospital[[#This Row],[Age]]&lt;=59,"Adult",
"Senior"))))</f>
        <v>Child</v>
      </c>
      <c r="D699" t="s">
        <v>5</v>
      </c>
      <c r="E699" s="1">
        <v>45268</v>
      </c>
      <c r="F699" s="1" t="str">
        <f t="shared" si="20"/>
        <v>December</v>
      </c>
      <c r="G699" t="s">
        <v>19</v>
      </c>
      <c r="H699" t="s">
        <v>12</v>
      </c>
      <c r="I699" t="s">
        <v>15</v>
      </c>
      <c r="J699" t="str">
        <f t="shared" si="21"/>
        <v>Error: Should be None</v>
      </c>
      <c r="K699">
        <v>9</v>
      </c>
      <c r="L699" s="2">
        <v>384.08</v>
      </c>
      <c r="M699" t="s">
        <v>8</v>
      </c>
    </row>
    <row r="700" spans="1:13" x14ac:dyDescent="0.35">
      <c r="A700">
        <v>699</v>
      </c>
      <c r="B700">
        <v>25</v>
      </c>
      <c r="C70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00" t="s">
        <v>0</v>
      </c>
      <c r="E700" s="1">
        <v>45255</v>
      </c>
      <c r="F700" s="1" t="str">
        <f t="shared" si="20"/>
        <v>November</v>
      </c>
      <c r="G700" t="s">
        <v>19</v>
      </c>
      <c r="H700" t="s">
        <v>17</v>
      </c>
      <c r="I700" t="s">
        <v>3</v>
      </c>
      <c r="J700" t="str">
        <f t="shared" si="21"/>
        <v>Error: Should be None</v>
      </c>
      <c r="K700">
        <v>5</v>
      </c>
      <c r="L700" s="2">
        <v>390.94</v>
      </c>
      <c r="M700" t="s">
        <v>4</v>
      </c>
    </row>
    <row r="701" spans="1:13" x14ac:dyDescent="0.35">
      <c r="A701">
        <v>700</v>
      </c>
      <c r="B701">
        <v>21</v>
      </c>
      <c r="C70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01" t="s">
        <v>0</v>
      </c>
      <c r="E701" s="1">
        <v>45206</v>
      </c>
      <c r="F701" s="1" t="str">
        <f t="shared" si="20"/>
        <v>October</v>
      </c>
      <c r="G701" t="s">
        <v>11</v>
      </c>
      <c r="H701" t="s">
        <v>17</v>
      </c>
      <c r="I701" t="s">
        <v>15</v>
      </c>
      <c r="J701" t="str">
        <f t="shared" si="21"/>
        <v>Error: Should be None</v>
      </c>
      <c r="K701">
        <v>9</v>
      </c>
      <c r="L701" s="2">
        <v>288.62</v>
      </c>
      <c r="M701" t="s">
        <v>4</v>
      </c>
    </row>
    <row r="702" spans="1:13" x14ac:dyDescent="0.35">
      <c r="A702">
        <v>701</v>
      </c>
      <c r="B702">
        <v>45</v>
      </c>
      <c r="C702" t="str">
        <f>IF(Hospital[[#This Row],[Age]]&lt;=12,"Child",
IF(Hospital[[#This Row],[Age]]&lt;=19,"Teen",
IF(Hospital[[#This Row],[Age]]&lt;=35,"Young Adult",
IF(Hospital[[#This Row],[Age]]&lt;=59,"Adult",
"Senior"))))</f>
        <v>Adult</v>
      </c>
      <c r="D702" t="s">
        <v>0</v>
      </c>
      <c r="E702" s="1">
        <v>45138</v>
      </c>
      <c r="F702" s="1" t="str">
        <f t="shared" si="20"/>
        <v>July</v>
      </c>
      <c r="G702" t="s">
        <v>19</v>
      </c>
      <c r="H702" t="s">
        <v>9</v>
      </c>
      <c r="I702" t="s">
        <v>3</v>
      </c>
      <c r="J702" t="str">
        <f t="shared" si="21"/>
        <v>Error: Should be None</v>
      </c>
      <c r="K702">
        <v>2</v>
      </c>
      <c r="L702" s="2">
        <v>472.77</v>
      </c>
      <c r="M702" t="s">
        <v>16</v>
      </c>
    </row>
    <row r="703" spans="1:13" x14ac:dyDescent="0.35">
      <c r="A703">
        <v>702</v>
      </c>
      <c r="B703">
        <v>22</v>
      </c>
      <c r="C70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03" t="s">
        <v>5</v>
      </c>
      <c r="E703" s="1">
        <v>45514</v>
      </c>
      <c r="F703" s="1" t="str">
        <f t="shared" si="20"/>
        <v>August</v>
      </c>
      <c r="G703" t="s">
        <v>19</v>
      </c>
      <c r="H703" t="s">
        <v>17</v>
      </c>
      <c r="I703" t="s">
        <v>3</v>
      </c>
      <c r="J703" t="str">
        <f t="shared" si="21"/>
        <v>Error: Should be None</v>
      </c>
      <c r="K703">
        <v>5</v>
      </c>
      <c r="L703" s="2">
        <v>279.48</v>
      </c>
      <c r="M703" t="s">
        <v>4</v>
      </c>
    </row>
    <row r="704" spans="1:13" x14ac:dyDescent="0.35">
      <c r="A704">
        <v>703</v>
      </c>
      <c r="B704">
        <v>61</v>
      </c>
      <c r="C704" t="str">
        <f>IF(Hospital[[#This Row],[Age]]&lt;=12,"Child",
IF(Hospital[[#This Row],[Age]]&lt;=19,"Teen",
IF(Hospital[[#This Row],[Age]]&lt;=35,"Young Adult",
IF(Hospital[[#This Row],[Age]]&lt;=59,"Adult",
"Senior"))))</f>
        <v>Senior</v>
      </c>
      <c r="D704" t="s">
        <v>5</v>
      </c>
      <c r="E704" s="1">
        <v>45060</v>
      </c>
      <c r="F704" s="1" t="str">
        <f t="shared" si="20"/>
        <v>May</v>
      </c>
      <c r="G704" t="s">
        <v>11</v>
      </c>
      <c r="H704" t="s">
        <v>2</v>
      </c>
      <c r="I704" t="s">
        <v>3</v>
      </c>
      <c r="J704" t="str">
        <f t="shared" si="21"/>
        <v>Error: Should be None</v>
      </c>
      <c r="K704">
        <v>6</v>
      </c>
      <c r="L704" s="2">
        <v>45.82</v>
      </c>
      <c r="M704" t="s">
        <v>10</v>
      </c>
    </row>
    <row r="705" spans="1:13" x14ac:dyDescent="0.35">
      <c r="A705">
        <v>704</v>
      </c>
      <c r="B705">
        <v>77</v>
      </c>
      <c r="C705" t="str">
        <f>IF(Hospital[[#This Row],[Age]]&lt;=12,"Child",
IF(Hospital[[#This Row],[Age]]&lt;=19,"Teen",
IF(Hospital[[#This Row],[Age]]&lt;=35,"Young Adult",
IF(Hospital[[#This Row],[Age]]&lt;=59,"Adult",
"Senior"))))</f>
        <v>Senior</v>
      </c>
      <c r="D705" t="s">
        <v>0</v>
      </c>
      <c r="E705" s="1">
        <v>45328</v>
      </c>
      <c r="F705" s="1" t="str">
        <f t="shared" si="20"/>
        <v>February</v>
      </c>
      <c r="G705" t="s">
        <v>19</v>
      </c>
      <c r="H705" t="s">
        <v>17</v>
      </c>
      <c r="I705" t="s">
        <v>18</v>
      </c>
      <c r="J705" t="str">
        <f t="shared" si="21"/>
        <v>Error: Should be None</v>
      </c>
      <c r="K705">
        <v>5</v>
      </c>
      <c r="L705" s="2">
        <v>412.37</v>
      </c>
      <c r="M705" t="s">
        <v>4</v>
      </c>
    </row>
    <row r="706" spans="1:13" x14ac:dyDescent="0.35">
      <c r="A706">
        <v>705</v>
      </c>
      <c r="B706">
        <v>17</v>
      </c>
      <c r="C706" t="str">
        <f>IF(Hospital[[#This Row],[Age]]&lt;=12,"Child",
IF(Hospital[[#This Row],[Age]]&lt;=19,"Teen",
IF(Hospital[[#This Row],[Age]]&lt;=35,"Young Adult",
IF(Hospital[[#This Row],[Age]]&lt;=59,"Adult",
"Senior"))))</f>
        <v>Teen</v>
      </c>
      <c r="D706" t="s">
        <v>5</v>
      </c>
      <c r="E706" s="1">
        <v>45403</v>
      </c>
      <c r="F706" s="1" t="str">
        <f t="shared" si="20"/>
        <v>April</v>
      </c>
      <c r="G706" t="s">
        <v>6</v>
      </c>
      <c r="H706" t="s">
        <v>9</v>
      </c>
      <c r="I706" t="s">
        <v>3</v>
      </c>
      <c r="J706" t="str">
        <f t="shared" si="21"/>
        <v>Error: Should be None</v>
      </c>
      <c r="K706">
        <v>1</v>
      </c>
      <c r="L706" s="2">
        <v>238.68</v>
      </c>
      <c r="M706" t="s">
        <v>10</v>
      </c>
    </row>
    <row r="707" spans="1:13" x14ac:dyDescent="0.35">
      <c r="A707">
        <v>706</v>
      </c>
      <c r="B707">
        <v>29</v>
      </c>
      <c r="C707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07" t="s">
        <v>5</v>
      </c>
      <c r="E707" s="1">
        <v>45408</v>
      </c>
      <c r="F707" s="1" t="str">
        <f t="shared" ref="F707:F770" si="22">TEXT(E707, "mmmm")</f>
        <v>April</v>
      </c>
      <c r="G707" t="s">
        <v>19</v>
      </c>
      <c r="H707" t="s">
        <v>17</v>
      </c>
      <c r="I707" t="s">
        <v>18</v>
      </c>
      <c r="J707" t="str">
        <f t="shared" ref="J707:J770" si="23">IF(OR(G707="UTI", G707="Pneumonia", G707="Typhoid"),
   IF(H707="None","Error: Should have antibiotics","OK"),
   IF(H707&lt;&gt;"None","Error: Should be None","OK"))</f>
        <v>Error: Should be None</v>
      </c>
      <c r="K707">
        <v>6</v>
      </c>
      <c r="L707" s="2">
        <v>108.01</v>
      </c>
      <c r="M707" t="s">
        <v>16</v>
      </c>
    </row>
    <row r="708" spans="1:13" x14ac:dyDescent="0.35">
      <c r="A708">
        <v>707</v>
      </c>
      <c r="B708">
        <v>63</v>
      </c>
      <c r="C708" t="str">
        <f>IF(Hospital[[#This Row],[Age]]&lt;=12,"Child",
IF(Hospital[[#This Row],[Age]]&lt;=19,"Teen",
IF(Hospital[[#This Row],[Age]]&lt;=35,"Young Adult",
IF(Hospital[[#This Row],[Age]]&lt;=59,"Adult",
"Senior"))))</f>
        <v>Senior</v>
      </c>
      <c r="D708" t="s">
        <v>5</v>
      </c>
      <c r="E708" s="1">
        <v>45259</v>
      </c>
      <c r="F708" s="1" t="str">
        <f t="shared" si="22"/>
        <v>November</v>
      </c>
      <c r="G708" t="s">
        <v>11</v>
      </c>
      <c r="H708" t="s">
        <v>12</v>
      </c>
      <c r="I708" t="s">
        <v>20</v>
      </c>
      <c r="J708" t="str">
        <f t="shared" si="23"/>
        <v>Error: Should be None</v>
      </c>
      <c r="K708">
        <v>1</v>
      </c>
      <c r="L708" s="2">
        <v>188.69</v>
      </c>
      <c r="M708" t="s">
        <v>10</v>
      </c>
    </row>
    <row r="709" spans="1:13" x14ac:dyDescent="0.35">
      <c r="A709">
        <v>708</v>
      </c>
      <c r="B709">
        <v>45</v>
      </c>
      <c r="C709" t="str">
        <f>IF(Hospital[[#This Row],[Age]]&lt;=12,"Child",
IF(Hospital[[#This Row],[Age]]&lt;=19,"Teen",
IF(Hospital[[#This Row],[Age]]&lt;=35,"Young Adult",
IF(Hospital[[#This Row],[Age]]&lt;=59,"Adult",
"Senior"))))</f>
        <v>Adult</v>
      </c>
      <c r="D709" t="s">
        <v>5</v>
      </c>
      <c r="E709" s="1">
        <v>45101</v>
      </c>
      <c r="F709" s="1" t="str">
        <f t="shared" si="22"/>
        <v>June</v>
      </c>
      <c r="G709" t="s">
        <v>11</v>
      </c>
      <c r="H709" t="s">
        <v>14</v>
      </c>
      <c r="I709" t="s">
        <v>20</v>
      </c>
      <c r="J709" t="str">
        <f t="shared" si="23"/>
        <v>Error: Should be None</v>
      </c>
      <c r="K709">
        <v>1</v>
      </c>
      <c r="L709" s="2">
        <v>176.42</v>
      </c>
      <c r="M709" t="s">
        <v>4</v>
      </c>
    </row>
    <row r="710" spans="1:13" x14ac:dyDescent="0.35">
      <c r="A710">
        <v>709</v>
      </c>
      <c r="B710">
        <v>60</v>
      </c>
      <c r="C710" t="str">
        <f>IF(Hospital[[#This Row],[Age]]&lt;=12,"Child",
IF(Hospital[[#This Row],[Age]]&lt;=19,"Teen",
IF(Hospital[[#This Row],[Age]]&lt;=35,"Young Adult",
IF(Hospital[[#This Row],[Age]]&lt;=59,"Adult",
"Senior"))))</f>
        <v>Senior</v>
      </c>
      <c r="D710" t="s">
        <v>0</v>
      </c>
      <c r="E710" s="1">
        <v>45236</v>
      </c>
      <c r="F710" s="1" t="str">
        <f t="shared" si="22"/>
        <v>November</v>
      </c>
      <c r="G710" t="s">
        <v>6</v>
      </c>
      <c r="H710" t="s">
        <v>9</v>
      </c>
      <c r="I710" t="s">
        <v>3</v>
      </c>
      <c r="J710" t="str">
        <f t="shared" si="23"/>
        <v>Error: Should be None</v>
      </c>
      <c r="K710">
        <v>3</v>
      </c>
      <c r="L710" s="2">
        <v>318.02</v>
      </c>
      <c r="M710" t="s">
        <v>8</v>
      </c>
    </row>
    <row r="711" spans="1:13" x14ac:dyDescent="0.35">
      <c r="A711">
        <v>710</v>
      </c>
      <c r="B711">
        <v>9</v>
      </c>
      <c r="C711" t="str">
        <f>IF(Hospital[[#This Row],[Age]]&lt;=12,"Child",
IF(Hospital[[#This Row],[Age]]&lt;=19,"Teen",
IF(Hospital[[#This Row],[Age]]&lt;=35,"Young Adult",
IF(Hospital[[#This Row],[Age]]&lt;=59,"Adult",
"Senior"))))</f>
        <v>Child</v>
      </c>
      <c r="D711" t="s">
        <v>0</v>
      </c>
      <c r="E711" s="1">
        <v>45420</v>
      </c>
      <c r="F711" s="1" t="str">
        <f t="shared" si="22"/>
        <v>May</v>
      </c>
      <c r="G711" t="s">
        <v>1</v>
      </c>
      <c r="H711" t="s">
        <v>12</v>
      </c>
      <c r="I711" t="s">
        <v>3</v>
      </c>
      <c r="J711" t="str">
        <f t="shared" si="23"/>
        <v>Error: Should be None</v>
      </c>
      <c r="K711">
        <v>6</v>
      </c>
      <c r="L711" s="2">
        <v>396.47</v>
      </c>
      <c r="M711" t="s">
        <v>10</v>
      </c>
    </row>
    <row r="712" spans="1:13" x14ac:dyDescent="0.35">
      <c r="A712">
        <v>711</v>
      </c>
      <c r="B712">
        <v>70</v>
      </c>
      <c r="C712" t="str">
        <f>IF(Hospital[[#This Row],[Age]]&lt;=12,"Child",
IF(Hospital[[#This Row],[Age]]&lt;=19,"Teen",
IF(Hospital[[#This Row],[Age]]&lt;=35,"Young Adult",
IF(Hospital[[#This Row],[Age]]&lt;=59,"Adult",
"Senior"))))</f>
        <v>Senior</v>
      </c>
      <c r="D712" t="s">
        <v>5</v>
      </c>
      <c r="E712" s="1">
        <v>45507</v>
      </c>
      <c r="F712" s="1" t="str">
        <f t="shared" si="22"/>
        <v>August</v>
      </c>
      <c r="G712" t="s">
        <v>1</v>
      </c>
      <c r="H712" t="s">
        <v>14</v>
      </c>
      <c r="I712" t="s">
        <v>15</v>
      </c>
      <c r="J712" t="str">
        <f t="shared" si="23"/>
        <v>Error: Should be None</v>
      </c>
      <c r="K712">
        <v>9</v>
      </c>
      <c r="L712" s="2">
        <v>421.64</v>
      </c>
      <c r="M712" t="s">
        <v>4</v>
      </c>
    </row>
    <row r="713" spans="1:13" x14ac:dyDescent="0.35">
      <c r="A713">
        <v>712</v>
      </c>
      <c r="B713">
        <v>60</v>
      </c>
      <c r="C713" t="str">
        <f>IF(Hospital[[#This Row],[Age]]&lt;=12,"Child",
IF(Hospital[[#This Row],[Age]]&lt;=19,"Teen",
IF(Hospital[[#This Row],[Age]]&lt;=35,"Young Adult",
IF(Hospital[[#This Row],[Age]]&lt;=59,"Adult",
"Senior"))))</f>
        <v>Senior</v>
      </c>
      <c r="D713" t="s">
        <v>0</v>
      </c>
      <c r="E713" s="1">
        <v>45533</v>
      </c>
      <c r="F713" s="1" t="str">
        <f t="shared" si="22"/>
        <v>August</v>
      </c>
      <c r="G713" t="s">
        <v>11</v>
      </c>
      <c r="H713" t="s">
        <v>9</v>
      </c>
      <c r="I713" t="s">
        <v>3</v>
      </c>
      <c r="J713" t="str">
        <f t="shared" si="23"/>
        <v>Error: Should be None</v>
      </c>
      <c r="K713">
        <v>7</v>
      </c>
      <c r="L713" s="2">
        <v>104.56</v>
      </c>
      <c r="M713" t="s">
        <v>10</v>
      </c>
    </row>
    <row r="714" spans="1:13" x14ac:dyDescent="0.35">
      <c r="A714">
        <v>713</v>
      </c>
      <c r="B714">
        <v>14</v>
      </c>
      <c r="C714" t="str">
        <f>IF(Hospital[[#This Row],[Age]]&lt;=12,"Child",
IF(Hospital[[#This Row],[Age]]&lt;=19,"Teen",
IF(Hospital[[#This Row],[Age]]&lt;=35,"Young Adult",
IF(Hospital[[#This Row],[Age]]&lt;=59,"Adult",
"Senior"))))</f>
        <v>Teen</v>
      </c>
      <c r="D714" t="s">
        <v>0</v>
      </c>
      <c r="E714" s="1">
        <v>44998</v>
      </c>
      <c r="F714" s="1" t="str">
        <f t="shared" si="22"/>
        <v>March</v>
      </c>
      <c r="G714" t="s">
        <v>19</v>
      </c>
      <c r="H714" t="s">
        <v>9</v>
      </c>
      <c r="I714" t="s">
        <v>3</v>
      </c>
      <c r="J714" t="str">
        <f t="shared" si="23"/>
        <v>Error: Should be None</v>
      </c>
      <c r="K714">
        <v>7</v>
      </c>
      <c r="L714" s="2">
        <v>329.59</v>
      </c>
      <c r="M714" t="s">
        <v>4</v>
      </c>
    </row>
    <row r="715" spans="1:13" x14ac:dyDescent="0.35">
      <c r="A715">
        <v>714</v>
      </c>
      <c r="B715">
        <v>18</v>
      </c>
      <c r="C715" t="str">
        <f>IF(Hospital[[#This Row],[Age]]&lt;=12,"Child",
IF(Hospital[[#This Row],[Age]]&lt;=19,"Teen",
IF(Hospital[[#This Row],[Age]]&lt;=35,"Young Adult",
IF(Hospital[[#This Row],[Age]]&lt;=59,"Adult",
"Senior"))))</f>
        <v>Teen</v>
      </c>
      <c r="D715" t="s">
        <v>5</v>
      </c>
      <c r="E715" s="1">
        <v>45019</v>
      </c>
      <c r="F715" s="1" t="str">
        <f t="shared" si="22"/>
        <v>April</v>
      </c>
      <c r="G715" t="s">
        <v>1</v>
      </c>
      <c r="H715" t="s">
        <v>17</v>
      </c>
      <c r="I715" t="s">
        <v>13</v>
      </c>
      <c r="J715" t="str">
        <f t="shared" si="23"/>
        <v>Error: Should be None</v>
      </c>
      <c r="K715">
        <v>7</v>
      </c>
      <c r="L715" s="2">
        <v>275</v>
      </c>
      <c r="M715" t="s">
        <v>10</v>
      </c>
    </row>
    <row r="716" spans="1:13" x14ac:dyDescent="0.35">
      <c r="A716">
        <v>715</v>
      </c>
      <c r="B716">
        <v>58</v>
      </c>
      <c r="C716" t="str">
        <f>IF(Hospital[[#This Row],[Age]]&lt;=12,"Child",
IF(Hospital[[#This Row],[Age]]&lt;=19,"Teen",
IF(Hospital[[#This Row],[Age]]&lt;=35,"Young Adult",
IF(Hospital[[#This Row],[Age]]&lt;=59,"Adult",
"Senior"))))</f>
        <v>Adult</v>
      </c>
      <c r="D716" t="s">
        <v>5</v>
      </c>
      <c r="E716" s="1">
        <v>45557</v>
      </c>
      <c r="F716" s="1" t="str">
        <f t="shared" si="22"/>
        <v>September</v>
      </c>
      <c r="G716" t="s">
        <v>1</v>
      </c>
      <c r="H716" t="s">
        <v>9</v>
      </c>
      <c r="I716" t="s">
        <v>3</v>
      </c>
      <c r="J716" t="str">
        <f t="shared" si="23"/>
        <v>Error: Should be None</v>
      </c>
      <c r="K716">
        <v>10</v>
      </c>
      <c r="L716" s="2">
        <v>441.16</v>
      </c>
      <c r="M716" t="s">
        <v>16</v>
      </c>
    </row>
    <row r="717" spans="1:13" x14ac:dyDescent="0.35">
      <c r="A717">
        <v>716</v>
      </c>
      <c r="B717">
        <v>39</v>
      </c>
      <c r="C717" t="str">
        <f>IF(Hospital[[#This Row],[Age]]&lt;=12,"Child",
IF(Hospital[[#This Row],[Age]]&lt;=19,"Teen",
IF(Hospital[[#This Row],[Age]]&lt;=35,"Young Adult",
IF(Hospital[[#This Row],[Age]]&lt;=59,"Adult",
"Senior"))))</f>
        <v>Adult</v>
      </c>
      <c r="D717" t="s">
        <v>0</v>
      </c>
      <c r="E717" s="1">
        <v>45510</v>
      </c>
      <c r="F717" s="1" t="str">
        <f t="shared" si="22"/>
        <v>August</v>
      </c>
      <c r="G717" t="s">
        <v>19</v>
      </c>
      <c r="H717" t="s">
        <v>7</v>
      </c>
      <c r="I717" t="s">
        <v>3</v>
      </c>
      <c r="J717" t="str">
        <f t="shared" si="23"/>
        <v>Error: Should be None</v>
      </c>
      <c r="K717">
        <v>1</v>
      </c>
      <c r="L717" s="2">
        <v>299.70999999999998</v>
      </c>
      <c r="M717" t="s">
        <v>10</v>
      </c>
    </row>
    <row r="718" spans="1:13" x14ac:dyDescent="0.35">
      <c r="A718">
        <v>717</v>
      </c>
      <c r="B718">
        <v>8</v>
      </c>
      <c r="C718" t="str">
        <f>IF(Hospital[[#This Row],[Age]]&lt;=12,"Child",
IF(Hospital[[#This Row],[Age]]&lt;=19,"Teen",
IF(Hospital[[#This Row],[Age]]&lt;=35,"Young Adult",
IF(Hospital[[#This Row],[Age]]&lt;=59,"Adult",
"Senior"))))</f>
        <v>Child</v>
      </c>
      <c r="D718" t="s">
        <v>0</v>
      </c>
      <c r="E718" s="1">
        <v>45057</v>
      </c>
      <c r="F718" s="1" t="str">
        <f t="shared" si="22"/>
        <v>May</v>
      </c>
      <c r="G718" t="s">
        <v>11</v>
      </c>
      <c r="H718" t="s">
        <v>14</v>
      </c>
      <c r="I718" t="s">
        <v>15</v>
      </c>
      <c r="J718" t="str">
        <f t="shared" si="23"/>
        <v>Error: Should be None</v>
      </c>
      <c r="K718">
        <v>8</v>
      </c>
      <c r="L718" s="2">
        <v>413.96</v>
      </c>
      <c r="M718" t="s">
        <v>16</v>
      </c>
    </row>
    <row r="719" spans="1:13" x14ac:dyDescent="0.35">
      <c r="A719">
        <v>718</v>
      </c>
      <c r="B719">
        <v>4</v>
      </c>
      <c r="C719" t="str">
        <f>IF(Hospital[[#This Row],[Age]]&lt;=12,"Child",
IF(Hospital[[#This Row],[Age]]&lt;=19,"Teen",
IF(Hospital[[#This Row],[Age]]&lt;=35,"Young Adult",
IF(Hospital[[#This Row],[Age]]&lt;=59,"Adult",
"Senior"))))</f>
        <v>Child</v>
      </c>
      <c r="D719" t="s">
        <v>5</v>
      </c>
      <c r="E719" s="1">
        <v>45039</v>
      </c>
      <c r="F719" s="1" t="str">
        <f t="shared" si="22"/>
        <v>April</v>
      </c>
      <c r="G719" t="s">
        <v>6</v>
      </c>
      <c r="H719" t="s">
        <v>14</v>
      </c>
      <c r="I719" t="s">
        <v>3</v>
      </c>
      <c r="J719" t="str">
        <f t="shared" si="23"/>
        <v>Error: Should be None</v>
      </c>
      <c r="K719">
        <v>6</v>
      </c>
      <c r="L719" s="2">
        <v>320.10000000000002</v>
      </c>
      <c r="M719" t="s">
        <v>10</v>
      </c>
    </row>
    <row r="720" spans="1:13" x14ac:dyDescent="0.35">
      <c r="A720">
        <v>719</v>
      </c>
      <c r="B720">
        <v>56</v>
      </c>
      <c r="C720" t="str">
        <f>IF(Hospital[[#This Row],[Age]]&lt;=12,"Child",
IF(Hospital[[#This Row],[Age]]&lt;=19,"Teen",
IF(Hospital[[#This Row],[Age]]&lt;=35,"Young Adult",
IF(Hospital[[#This Row],[Age]]&lt;=59,"Adult",
"Senior"))))</f>
        <v>Adult</v>
      </c>
      <c r="D720" t="s">
        <v>5</v>
      </c>
      <c r="E720" s="1">
        <v>45342</v>
      </c>
      <c r="F720" s="1" t="str">
        <f t="shared" si="22"/>
        <v>February</v>
      </c>
      <c r="G720" t="s">
        <v>1</v>
      </c>
      <c r="H720" t="s">
        <v>12</v>
      </c>
      <c r="I720" t="s">
        <v>20</v>
      </c>
      <c r="J720" t="str">
        <f t="shared" si="23"/>
        <v>Error: Should be None</v>
      </c>
      <c r="K720">
        <v>2</v>
      </c>
      <c r="L720" s="2">
        <v>110.35</v>
      </c>
      <c r="M720" t="s">
        <v>10</v>
      </c>
    </row>
    <row r="721" spans="1:13" x14ac:dyDescent="0.35">
      <c r="A721">
        <v>720</v>
      </c>
      <c r="B721">
        <v>20</v>
      </c>
      <c r="C72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21" t="s">
        <v>0</v>
      </c>
      <c r="E721" s="1">
        <v>45295</v>
      </c>
      <c r="F721" s="1" t="str">
        <f t="shared" si="22"/>
        <v>January</v>
      </c>
      <c r="G721" t="s">
        <v>1</v>
      </c>
      <c r="H721" t="s">
        <v>12</v>
      </c>
      <c r="I721" t="s">
        <v>13</v>
      </c>
      <c r="J721" t="str">
        <f t="shared" si="23"/>
        <v>Error: Should be None</v>
      </c>
      <c r="K721">
        <v>0</v>
      </c>
      <c r="L721" s="2">
        <v>54.44</v>
      </c>
      <c r="M721" t="s">
        <v>4</v>
      </c>
    </row>
    <row r="722" spans="1:13" x14ac:dyDescent="0.35">
      <c r="A722">
        <v>721</v>
      </c>
      <c r="B722">
        <v>63</v>
      </c>
      <c r="C722" t="str">
        <f>IF(Hospital[[#This Row],[Age]]&lt;=12,"Child",
IF(Hospital[[#This Row],[Age]]&lt;=19,"Teen",
IF(Hospital[[#This Row],[Age]]&lt;=35,"Young Adult",
IF(Hospital[[#This Row],[Age]]&lt;=59,"Adult",
"Senior"))))</f>
        <v>Senior</v>
      </c>
      <c r="D722" t="s">
        <v>0</v>
      </c>
      <c r="E722" s="1">
        <v>45074</v>
      </c>
      <c r="F722" s="1" t="str">
        <f t="shared" si="22"/>
        <v>May</v>
      </c>
      <c r="G722" t="s">
        <v>1</v>
      </c>
      <c r="H722" t="s">
        <v>7</v>
      </c>
      <c r="I722" t="s">
        <v>3</v>
      </c>
      <c r="J722" t="str">
        <f t="shared" si="23"/>
        <v>Error: Should be None</v>
      </c>
      <c r="K722">
        <v>1</v>
      </c>
      <c r="L722" s="2">
        <v>85.87</v>
      </c>
      <c r="M722" t="s">
        <v>10</v>
      </c>
    </row>
    <row r="723" spans="1:13" x14ac:dyDescent="0.35">
      <c r="A723">
        <v>722</v>
      </c>
      <c r="B723">
        <v>78</v>
      </c>
      <c r="C723" t="str">
        <f>IF(Hospital[[#This Row],[Age]]&lt;=12,"Child",
IF(Hospital[[#This Row],[Age]]&lt;=19,"Teen",
IF(Hospital[[#This Row],[Age]]&lt;=35,"Young Adult",
IF(Hospital[[#This Row],[Age]]&lt;=59,"Adult",
"Senior"))))</f>
        <v>Senior</v>
      </c>
      <c r="D723" t="s">
        <v>0</v>
      </c>
      <c r="E723" s="1">
        <v>45393</v>
      </c>
      <c r="F723" s="1" t="str">
        <f t="shared" si="22"/>
        <v>April</v>
      </c>
      <c r="G723" t="s">
        <v>1</v>
      </c>
      <c r="H723" t="s">
        <v>7</v>
      </c>
      <c r="I723" t="s">
        <v>3</v>
      </c>
      <c r="J723" t="str">
        <f t="shared" si="23"/>
        <v>Error: Should be None</v>
      </c>
      <c r="K723">
        <v>7</v>
      </c>
      <c r="L723" s="2">
        <v>264.52</v>
      </c>
      <c r="M723" t="s">
        <v>10</v>
      </c>
    </row>
    <row r="724" spans="1:13" x14ac:dyDescent="0.35">
      <c r="A724">
        <v>723</v>
      </c>
      <c r="B724">
        <v>29</v>
      </c>
      <c r="C72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24" t="s">
        <v>5</v>
      </c>
      <c r="E724" s="1">
        <v>45320</v>
      </c>
      <c r="F724" s="1" t="str">
        <f t="shared" si="22"/>
        <v>January</v>
      </c>
      <c r="G724" t="s">
        <v>6</v>
      </c>
      <c r="H724" t="s">
        <v>14</v>
      </c>
      <c r="I724" t="s">
        <v>3</v>
      </c>
      <c r="J724" t="str">
        <f t="shared" si="23"/>
        <v>Error: Should be None</v>
      </c>
      <c r="K724">
        <v>0</v>
      </c>
      <c r="L724" s="2">
        <v>297.41000000000003</v>
      </c>
      <c r="M724" t="s">
        <v>8</v>
      </c>
    </row>
    <row r="725" spans="1:13" x14ac:dyDescent="0.35">
      <c r="A725">
        <v>724</v>
      </c>
      <c r="B725">
        <v>35</v>
      </c>
      <c r="C72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25" t="s">
        <v>0</v>
      </c>
      <c r="E725" s="1">
        <v>45656</v>
      </c>
      <c r="F725" s="1" t="str">
        <f t="shared" si="22"/>
        <v>December</v>
      </c>
      <c r="G725" t="s">
        <v>19</v>
      </c>
      <c r="H725" t="s">
        <v>9</v>
      </c>
      <c r="I725" t="s">
        <v>3</v>
      </c>
      <c r="J725" t="str">
        <f t="shared" si="23"/>
        <v>Error: Should be None</v>
      </c>
      <c r="K725">
        <v>0</v>
      </c>
      <c r="L725" s="2">
        <v>489.55</v>
      </c>
      <c r="M725" t="s">
        <v>10</v>
      </c>
    </row>
    <row r="726" spans="1:13" x14ac:dyDescent="0.35">
      <c r="A726">
        <v>725</v>
      </c>
      <c r="B726">
        <v>15</v>
      </c>
      <c r="C726" t="str">
        <f>IF(Hospital[[#This Row],[Age]]&lt;=12,"Child",
IF(Hospital[[#This Row],[Age]]&lt;=19,"Teen",
IF(Hospital[[#This Row],[Age]]&lt;=35,"Young Adult",
IF(Hospital[[#This Row],[Age]]&lt;=59,"Adult",
"Senior"))))</f>
        <v>Teen</v>
      </c>
      <c r="D726" t="s">
        <v>0</v>
      </c>
      <c r="E726" s="1">
        <v>45648</v>
      </c>
      <c r="F726" s="1" t="str">
        <f t="shared" si="22"/>
        <v>December</v>
      </c>
      <c r="G726" t="s">
        <v>11</v>
      </c>
      <c r="H726" t="s">
        <v>14</v>
      </c>
      <c r="I726" t="s">
        <v>13</v>
      </c>
      <c r="J726" t="str">
        <f t="shared" si="23"/>
        <v>Error: Should be None</v>
      </c>
      <c r="K726">
        <v>8</v>
      </c>
      <c r="L726" s="2">
        <v>492.12</v>
      </c>
      <c r="M726" t="s">
        <v>16</v>
      </c>
    </row>
    <row r="727" spans="1:13" x14ac:dyDescent="0.35">
      <c r="A727">
        <v>726</v>
      </c>
      <c r="B727">
        <v>11</v>
      </c>
      <c r="C727" t="str">
        <f>IF(Hospital[[#This Row],[Age]]&lt;=12,"Child",
IF(Hospital[[#This Row],[Age]]&lt;=19,"Teen",
IF(Hospital[[#This Row],[Age]]&lt;=35,"Young Adult",
IF(Hospital[[#This Row],[Age]]&lt;=59,"Adult",
"Senior"))))</f>
        <v>Child</v>
      </c>
      <c r="D727" t="s">
        <v>5</v>
      </c>
      <c r="E727" s="1">
        <v>45403</v>
      </c>
      <c r="F727" s="1" t="str">
        <f t="shared" si="22"/>
        <v>April</v>
      </c>
      <c r="G727" t="s">
        <v>1</v>
      </c>
      <c r="H727" t="s">
        <v>9</v>
      </c>
      <c r="I727" t="s">
        <v>3</v>
      </c>
      <c r="J727" t="str">
        <f t="shared" si="23"/>
        <v>Error: Should be None</v>
      </c>
      <c r="K727">
        <v>7</v>
      </c>
      <c r="L727" s="2">
        <v>322.72000000000003</v>
      </c>
      <c r="M727" t="s">
        <v>4</v>
      </c>
    </row>
    <row r="728" spans="1:13" x14ac:dyDescent="0.35">
      <c r="A728">
        <v>727</v>
      </c>
      <c r="B728">
        <v>70</v>
      </c>
      <c r="C728" t="str">
        <f>IF(Hospital[[#This Row],[Age]]&lt;=12,"Child",
IF(Hospital[[#This Row],[Age]]&lt;=19,"Teen",
IF(Hospital[[#This Row],[Age]]&lt;=35,"Young Adult",
IF(Hospital[[#This Row],[Age]]&lt;=59,"Adult",
"Senior"))))</f>
        <v>Senior</v>
      </c>
      <c r="D728" t="s">
        <v>0</v>
      </c>
      <c r="E728" s="1">
        <v>45627</v>
      </c>
      <c r="F728" s="1" t="str">
        <f t="shared" si="22"/>
        <v>December</v>
      </c>
      <c r="G728" t="s">
        <v>11</v>
      </c>
      <c r="H728" t="s">
        <v>7</v>
      </c>
      <c r="I728" t="s">
        <v>3</v>
      </c>
      <c r="J728" t="str">
        <f t="shared" si="23"/>
        <v>Error: Should be None</v>
      </c>
      <c r="K728">
        <v>5</v>
      </c>
      <c r="L728" s="2">
        <v>276.82</v>
      </c>
      <c r="M728" t="s">
        <v>4</v>
      </c>
    </row>
    <row r="729" spans="1:13" x14ac:dyDescent="0.35">
      <c r="A729">
        <v>728</v>
      </c>
      <c r="B729">
        <v>66</v>
      </c>
      <c r="C729" t="str">
        <f>IF(Hospital[[#This Row],[Age]]&lt;=12,"Child",
IF(Hospital[[#This Row],[Age]]&lt;=19,"Teen",
IF(Hospital[[#This Row],[Age]]&lt;=35,"Young Adult",
IF(Hospital[[#This Row],[Age]]&lt;=59,"Adult",
"Senior"))))</f>
        <v>Senior</v>
      </c>
      <c r="D729" t="s">
        <v>0</v>
      </c>
      <c r="E729" s="1">
        <v>45407</v>
      </c>
      <c r="F729" s="1" t="str">
        <f t="shared" si="22"/>
        <v>April</v>
      </c>
      <c r="G729" t="s">
        <v>19</v>
      </c>
      <c r="H729" t="s">
        <v>12</v>
      </c>
      <c r="I729" t="s">
        <v>20</v>
      </c>
      <c r="J729" t="str">
        <f t="shared" si="23"/>
        <v>Error: Should be None</v>
      </c>
      <c r="K729">
        <v>5</v>
      </c>
      <c r="L729" s="2">
        <v>481.08</v>
      </c>
      <c r="M729" t="s">
        <v>16</v>
      </c>
    </row>
    <row r="730" spans="1:13" x14ac:dyDescent="0.35">
      <c r="A730">
        <v>729</v>
      </c>
      <c r="B730">
        <v>5</v>
      </c>
      <c r="C730" t="str">
        <f>IF(Hospital[[#This Row],[Age]]&lt;=12,"Child",
IF(Hospital[[#This Row],[Age]]&lt;=19,"Teen",
IF(Hospital[[#This Row],[Age]]&lt;=35,"Young Adult",
IF(Hospital[[#This Row],[Age]]&lt;=59,"Adult",
"Senior"))))</f>
        <v>Child</v>
      </c>
      <c r="D730" t="s">
        <v>0</v>
      </c>
      <c r="E730" s="1">
        <v>45223</v>
      </c>
      <c r="F730" s="1" t="str">
        <f t="shared" si="22"/>
        <v>October</v>
      </c>
      <c r="G730" t="s">
        <v>19</v>
      </c>
      <c r="H730" t="s">
        <v>17</v>
      </c>
      <c r="I730" t="s">
        <v>15</v>
      </c>
      <c r="J730" t="str">
        <f t="shared" si="23"/>
        <v>Error: Should be None</v>
      </c>
      <c r="K730">
        <v>10</v>
      </c>
      <c r="L730" s="2">
        <v>247.12</v>
      </c>
      <c r="M730" t="s">
        <v>8</v>
      </c>
    </row>
    <row r="731" spans="1:13" x14ac:dyDescent="0.35">
      <c r="A731">
        <v>730</v>
      </c>
      <c r="B731">
        <v>85</v>
      </c>
      <c r="C731" t="str">
        <f>IF(Hospital[[#This Row],[Age]]&lt;=12,"Child",
IF(Hospital[[#This Row],[Age]]&lt;=19,"Teen",
IF(Hospital[[#This Row],[Age]]&lt;=35,"Young Adult",
IF(Hospital[[#This Row],[Age]]&lt;=59,"Adult",
"Senior"))))</f>
        <v>Senior</v>
      </c>
      <c r="D731" t="s">
        <v>0</v>
      </c>
      <c r="E731" s="1">
        <v>45513</v>
      </c>
      <c r="F731" s="1" t="str">
        <f t="shared" si="22"/>
        <v>August</v>
      </c>
      <c r="G731" t="s">
        <v>11</v>
      </c>
      <c r="H731" t="s">
        <v>2</v>
      </c>
      <c r="I731" t="s">
        <v>3</v>
      </c>
      <c r="J731" t="str">
        <f t="shared" si="23"/>
        <v>Error: Should be None</v>
      </c>
      <c r="K731">
        <v>4</v>
      </c>
      <c r="L731" s="2">
        <v>252.68</v>
      </c>
      <c r="M731" t="s">
        <v>8</v>
      </c>
    </row>
    <row r="732" spans="1:13" x14ac:dyDescent="0.35">
      <c r="A732">
        <v>731</v>
      </c>
      <c r="B732">
        <v>36</v>
      </c>
      <c r="C732" t="str">
        <f>IF(Hospital[[#This Row],[Age]]&lt;=12,"Child",
IF(Hospital[[#This Row],[Age]]&lt;=19,"Teen",
IF(Hospital[[#This Row],[Age]]&lt;=35,"Young Adult",
IF(Hospital[[#This Row],[Age]]&lt;=59,"Adult",
"Senior"))))</f>
        <v>Adult</v>
      </c>
      <c r="D732" t="s">
        <v>0</v>
      </c>
      <c r="E732" s="1">
        <v>45444</v>
      </c>
      <c r="F732" s="1" t="str">
        <f t="shared" si="22"/>
        <v>June</v>
      </c>
      <c r="G732" t="s">
        <v>1</v>
      </c>
      <c r="H732" t="s">
        <v>2</v>
      </c>
      <c r="I732" t="s">
        <v>3</v>
      </c>
      <c r="J732" t="str">
        <f t="shared" si="23"/>
        <v>Error: Should be None</v>
      </c>
      <c r="K732">
        <v>9</v>
      </c>
      <c r="L732" s="2">
        <v>154.87</v>
      </c>
      <c r="M732" t="s">
        <v>16</v>
      </c>
    </row>
    <row r="733" spans="1:13" x14ac:dyDescent="0.35">
      <c r="A733">
        <v>732</v>
      </c>
      <c r="B733">
        <v>15</v>
      </c>
      <c r="C733" t="str">
        <f>IF(Hospital[[#This Row],[Age]]&lt;=12,"Child",
IF(Hospital[[#This Row],[Age]]&lt;=19,"Teen",
IF(Hospital[[#This Row],[Age]]&lt;=35,"Young Adult",
IF(Hospital[[#This Row],[Age]]&lt;=59,"Adult",
"Senior"))))</f>
        <v>Teen</v>
      </c>
      <c r="D733" t="s">
        <v>5</v>
      </c>
      <c r="E733" s="1">
        <v>44941</v>
      </c>
      <c r="F733" s="1" t="str">
        <f t="shared" si="22"/>
        <v>January</v>
      </c>
      <c r="G733" t="s">
        <v>1</v>
      </c>
      <c r="H733" t="s">
        <v>7</v>
      </c>
      <c r="I733" t="s">
        <v>3</v>
      </c>
      <c r="J733" t="str">
        <f t="shared" si="23"/>
        <v>Error: Should be None</v>
      </c>
      <c r="K733">
        <v>10</v>
      </c>
      <c r="L733" s="2">
        <v>234.39</v>
      </c>
      <c r="M733" t="s">
        <v>8</v>
      </c>
    </row>
    <row r="734" spans="1:13" x14ac:dyDescent="0.35">
      <c r="A734">
        <v>733</v>
      </c>
      <c r="B734">
        <v>31</v>
      </c>
      <c r="C73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34" t="s">
        <v>0</v>
      </c>
      <c r="E734" s="1">
        <v>45194</v>
      </c>
      <c r="F734" s="1" t="str">
        <f t="shared" si="22"/>
        <v>September</v>
      </c>
      <c r="G734" t="s">
        <v>1</v>
      </c>
      <c r="H734" t="s">
        <v>7</v>
      </c>
      <c r="I734" t="s">
        <v>3</v>
      </c>
      <c r="J734" t="str">
        <f t="shared" si="23"/>
        <v>Error: Should be None</v>
      </c>
      <c r="K734">
        <v>8</v>
      </c>
      <c r="L734" s="2">
        <v>433.77</v>
      </c>
      <c r="M734" t="s">
        <v>16</v>
      </c>
    </row>
    <row r="735" spans="1:13" x14ac:dyDescent="0.35">
      <c r="A735">
        <v>734</v>
      </c>
      <c r="B735">
        <v>77</v>
      </c>
      <c r="C735" t="str">
        <f>IF(Hospital[[#This Row],[Age]]&lt;=12,"Child",
IF(Hospital[[#This Row],[Age]]&lt;=19,"Teen",
IF(Hospital[[#This Row],[Age]]&lt;=35,"Young Adult",
IF(Hospital[[#This Row],[Age]]&lt;=59,"Adult",
"Senior"))))</f>
        <v>Senior</v>
      </c>
      <c r="D735" t="s">
        <v>5</v>
      </c>
      <c r="E735" s="1">
        <v>45013</v>
      </c>
      <c r="F735" s="1" t="str">
        <f t="shared" si="22"/>
        <v>March</v>
      </c>
      <c r="G735" t="s">
        <v>6</v>
      </c>
      <c r="H735" t="s">
        <v>17</v>
      </c>
      <c r="I735" t="s">
        <v>20</v>
      </c>
      <c r="J735" t="str">
        <f t="shared" si="23"/>
        <v>Error: Should be None</v>
      </c>
      <c r="K735">
        <v>6</v>
      </c>
      <c r="L735" s="2">
        <v>134.21</v>
      </c>
      <c r="M735" t="s">
        <v>10</v>
      </c>
    </row>
    <row r="736" spans="1:13" x14ac:dyDescent="0.35">
      <c r="A736">
        <v>735</v>
      </c>
      <c r="B736">
        <v>27</v>
      </c>
      <c r="C73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36" t="s">
        <v>0</v>
      </c>
      <c r="E736" s="1">
        <v>45579</v>
      </c>
      <c r="F736" s="1" t="str">
        <f t="shared" si="22"/>
        <v>October</v>
      </c>
      <c r="G736" t="s">
        <v>11</v>
      </c>
      <c r="H736" t="s">
        <v>17</v>
      </c>
      <c r="I736" t="s">
        <v>18</v>
      </c>
      <c r="J736" t="str">
        <f t="shared" si="23"/>
        <v>Error: Should be None</v>
      </c>
      <c r="K736">
        <v>1</v>
      </c>
      <c r="L736" s="2">
        <v>45.21</v>
      </c>
      <c r="M736" t="s">
        <v>10</v>
      </c>
    </row>
    <row r="737" spans="1:13" x14ac:dyDescent="0.35">
      <c r="A737">
        <v>736</v>
      </c>
      <c r="B737">
        <v>39</v>
      </c>
      <c r="C737" t="str">
        <f>IF(Hospital[[#This Row],[Age]]&lt;=12,"Child",
IF(Hospital[[#This Row],[Age]]&lt;=19,"Teen",
IF(Hospital[[#This Row],[Age]]&lt;=35,"Young Adult",
IF(Hospital[[#This Row],[Age]]&lt;=59,"Adult",
"Senior"))))</f>
        <v>Adult</v>
      </c>
      <c r="D737" t="s">
        <v>0</v>
      </c>
      <c r="E737" s="1">
        <v>45335</v>
      </c>
      <c r="F737" s="1" t="str">
        <f t="shared" si="22"/>
        <v>February</v>
      </c>
      <c r="G737" t="s">
        <v>1</v>
      </c>
      <c r="H737" t="s">
        <v>12</v>
      </c>
      <c r="I737" t="s">
        <v>20</v>
      </c>
      <c r="J737" t="str">
        <f t="shared" si="23"/>
        <v>Error: Should be None</v>
      </c>
      <c r="K737">
        <v>10</v>
      </c>
      <c r="L737" s="2">
        <v>358.69</v>
      </c>
      <c r="M737" t="s">
        <v>10</v>
      </c>
    </row>
    <row r="738" spans="1:13" x14ac:dyDescent="0.35">
      <c r="A738">
        <v>737</v>
      </c>
      <c r="B738">
        <v>68</v>
      </c>
      <c r="C738" t="str">
        <f>IF(Hospital[[#This Row],[Age]]&lt;=12,"Child",
IF(Hospital[[#This Row],[Age]]&lt;=19,"Teen",
IF(Hospital[[#This Row],[Age]]&lt;=35,"Young Adult",
IF(Hospital[[#This Row],[Age]]&lt;=59,"Adult",
"Senior"))))</f>
        <v>Senior</v>
      </c>
      <c r="D738" t="s">
        <v>0</v>
      </c>
      <c r="E738" s="1">
        <v>45195</v>
      </c>
      <c r="F738" s="1" t="str">
        <f t="shared" si="22"/>
        <v>September</v>
      </c>
      <c r="G738" t="s">
        <v>11</v>
      </c>
      <c r="H738" t="s">
        <v>17</v>
      </c>
      <c r="I738" t="s">
        <v>18</v>
      </c>
      <c r="J738" t="str">
        <f t="shared" si="23"/>
        <v>Error: Should be None</v>
      </c>
      <c r="K738">
        <v>7</v>
      </c>
      <c r="L738" s="2">
        <v>203.36</v>
      </c>
      <c r="M738" t="s">
        <v>16</v>
      </c>
    </row>
    <row r="739" spans="1:13" x14ac:dyDescent="0.35">
      <c r="A739">
        <v>738</v>
      </c>
      <c r="B739">
        <v>6</v>
      </c>
      <c r="C739" t="str">
        <f>IF(Hospital[[#This Row],[Age]]&lt;=12,"Child",
IF(Hospital[[#This Row],[Age]]&lt;=19,"Teen",
IF(Hospital[[#This Row],[Age]]&lt;=35,"Young Adult",
IF(Hospital[[#This Row],[Age]]&lt;=59,"Adult",
"Senior"))))</f>
        <v>Child</v>
      </c>
      <c r="D739" t="s">
        <v>5</v>
      </c>
      <c r="E739" s="1">
        <v>45469</v>
      </c>
      <c r="F739" s="1" t="str">
        <f t="shared" si="22"/>
        <v>June</v>
      </c>
      <c r="G739" t="s">
        <v>19</v>
      </c>
      <c r="H739" t="s">
        <v>7</v>
      </c>
      <c r="I739" t="s">
        <v>3</v>
      </c>
      <c r="J739" t="str">
        <f t="shared" si="23"/>
        <v>Error: Should be None</v>
      </c>
      <c r="K739">
        <v>6</v>
      </c>
      <c r="L739" s="2">
        <v>313.02999999999997</v>
      </c>
      <c r="M739" t="s">
        <v>16</v>
      </c>
    </row>
    <row r="740" spans="1:13" x14ac:dyDescent="0.35">
      <c r="A740">
        <v>739</v>
      </c>
      <c r="B740">
        <v>35</v>
      </c>
      <c r="C74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40" t="s">
        <v>5</v>
      </c>
      <c r="E740" s="1">
        <v>45270</v>
      </c>
      <c r="F740" s="1" t="str">
        <f t="shared" si="22"/>
        <v>December</v>
      </c>
      <c r="G740" t="s">
        <v>19</v>
      </c>
      <c r="H740" t="s">
        <v>14</v>
      </c>
      <c r="I740" t="s">
        <v>3</v>
      </c>
      <c r="J740" t="str">
        <f t="shared" si="23"/>
        <v>Error: Should be None</v>
      </c>
      <c r="K740">
        <v>6</v>
      </c>
      <c r="L740" s="2">
        <v>241.33</v>
      </c>
      <c r="M740" t="s">
        <v>8</v>
      </c>
    </row>
    <row r="741" spans="1:13" x14ac:dyDescent="0.35">
      <c r="A741">
        <v>740</v>
      </c>
      <c r="B741">
        <v>25</v>
      </c>
      <c r="C74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41" t="s">
        <v>0</v>
      </c>
      <c r="E741" s="1">
        <v>45615</v>
      </c>
      <c r="F741" s="1" t="str">
        <f t="shared" si="22"/>
        <v>November</v>
      </c>
      <c r="G741" t="s">
        <v>1</v>
      </c>
      <c r="H741" t="s">
        <v>9</v>
      </c>
      <c r="I741" t="s">
        <v>3</v>
      </c>
      <c r="J741" t="str">
        <f t="shared" si="23"/>
        <v>Error: Should be None</v>
      </c>
      <c r="K741">
        <v>5</v>
      </c>
      <c r="L741" s="2">
        <v>282.85000000000002</v>
      </c>
      <c r="M741" t="s">
        <v>4</v>
      </c>
    </row>
    <row r="742" spans="1:13" x14ac:dyDescent="0.35">
      <c r="A742">
        <v>741</v>
      </c>
      <c r="B742">
        <v>53</v>
      </c>
      <c r="C742" t="str">
        <f>IF(Hospital[[#This Row],[Age]]&lt;=12,"Child",
IF(Hospital[[#This Row],[Age]]&lt;=19,"Teen",
IF(Hospital[[#This Row],[Age]]&lt;=35,"Young Adult",
IF(Hospital[[#This Row],[Age]]&lt;=59,"Adult",
"Senior"))))</f>
        <v>Adult</v>
      </c>
      <c r="D742" t="s">
        <v>5</v>
      </c>
      <c r="E742" s="1">
        <v>44996</v>
      </c>
      <c r="F742" s="1" t="str">
        <f t="shared" si="22"/>
        <v>March</v>
      </c>
      <c r="G742" t="s">
        <v>11</v>
      </c>
      <c r="H742" t="s">
        <v>2</v>
      </c>
      <c r="I742" t="s">
        <v>3</v>
      </c>
      <c r="J742" t="str">
        <f t="shared" si="23"/>
        <v>Error: Should be None</v>
      </c>
      <c r="K742">
        <v>10</v>
      </c>
      <c r="L742" s="2">
        <v>234.05</v>
      </c>
      <c r="M742" t="s">
        <v>8</v>
      </c>
    </row>
    <row r="743" spans="1:13" x14ac:dyDescent="0.35">
      <c r="A743">
        <v>742</v>
      </c>
      <c r="B743">
        <v>25</v>
      </c>
      <c r="C74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43" t="s">
        <v>5</v>
      </c>
      <c r="E743" s="1">
        <v>45217</v>
      </c>
      <c r="F743" s="1" t="str">
        <f t="shared" si="22"/>
        <v>October</v>
      </c>
      <c r="G743" t="s">
        <v>11</v>
      </c>
      <c r="H743" t="s">
        <v>14</v>
      </c>
      <c r="I743" t="s">
        <v>3</v>
      </c>
      <c r="J743" t="str">
        <f t="shared" si="23"/>
        <v>Error: Should be None</v>
      </c>
      <c r="K743">
        <v>1</v>
      </c>
      <c r="L743" s="2">
        <v>47.3</v>
      </c>
      <c r="M743" t="s">
        <v>8</v>
      </c>
    </row>
    <row r="744" spans="1:13" x14ac:dyDescent="0.35">
      <c r="A744">
        <v>743</v>
      </c>
      <c r="B744">
        <v>16</v>
      </c>
      <c r="C744" t="str">
        <f>IF(Hospital[[#This Row],[Age]]&lt;=12,"Child",
IF(Hospital[[#This Row],[Age]]&lt;=19,"Teen",
IF(Hospital[[#This Row],[Age]]&lt;=35,"Young Adult",
IF(Hospital[[#This Row],[Age]]&lt;=59,"Adult",
"Senior"))))</f>
        <v>Teen</v>
      </c>
      <c r="D744" t="s">
        <v>5</v>
      </c>
      <c r="E744" s="1">
        <v>45540</v>
      </c>
      <c r="F744" s="1" t="str">
        <f t="shared" si="22"/>
        <v>September</v>
      </c>
      <c r="G744" t="s">
        <v>11</v>
      </c>
      <c r="H744" t="s">
        <v>7</v>
      </c>
      <c r="I744" t="s">
        <v>3</v>
      </c>
      <c r="J744" t="str">
        <f t="shared" si="23"/>
        <v>Error: Should be None</v>
      </c>
      <c r="K744">
        <v>9</v>
      </c>
      <c r="L744" s="2">
        <v>82.36</v>
      </c>
      <c r="M744" t="s">
        <v>8</v>
      </c>
    </row>
    <row r="745" spans="1:13" x14ac:dyDescent="0.35">
      <c r="A745">
        <v>744</v>
      </c>
      <c r="B745">
        <v>24</v>
      </c>
      <c r="C74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45" t="s">
        <v>0</v>
      </c>
      <c r="E745" s="1">
        <v>45040</v>
      </c>
      <c r="F745" s="1" t="str">
        <f t="shared" si="22"/>
        <v>April</v>
      </c>
      <c r="G745" t="s">
        <v>19</v>
      </c>
      <c r="H745" t="s">
        <v>7</v>
      </c>
      <c r="I745" t="s">
        <v>3</v>
      </c>
      <c r="J745" t="str">
        <f t="shared" si="23"/>
        <v>Error: Should be None</v>
      </c>
      <c r="K745">
        <v>7</v>
      </c>
      <c r="L745" s="2">
        <v>337.03</v>
      </c>
      <c r="M745" t="s">
        <v>4</v>
      </c>
    </row>
    <row r="746" spans="1:13" x14ac:dyDescent="0.35">
      <c r="A746">
        <v>745</v>
      </c>
      <c r="B746">
        <v>36</v>
      </c>
      <c r="C746" t="str">
        <f>IF(Hospital[[#This Row],[Age]]&lt;=12,"Child",
IF(Hospital[[#This Row],[Age]]&lt;=19,"Teen",
IF(Hospital[[#This Row],[Age]]&lt;=35,"Young Adult",
IF(Hospital[[#This Row],[Age]]&lt;=59,"Adult",
"Senior"))))</f>
        <v>Adult</v>
      </c>
      <c r="D746" t="s">
        <v>0</v>
      </c>
      <c r="E746" s="1">
        <v>45581</v>
      </c>
      <c r="F746" s="1" t="str">
        <f t="shared" si="22"/>
        <v>October</v>
      </c>
      <c r="G746" t="s">
        <v>19</v>
      </c>
      <c r="H746" t="s">
        <v>12</v>
      </c>
      <c r="I746" t="s">
        <v>18</v>
      </c>
      <c r="J746" t="str">
        <f t="shared" si="23"/>
        <v>Error: Should be None</v>
      </c>
      <c r="K746">
        <v>2</v>
      </c>
      <c r="L746" s="2">
        <v>394.75</v>
      </c>
      <c r="M746" t="s">
        <v>16</v>
      </c>
    </row>
    <row r="747" spans="1:13" x14ac:dyDescent="0.35">
      <c r="A747">
        <v>746</v>
      </c>
      <c r="B747">
        <v>50</v>
      </c>
      <c r="C747" t="str">
        <f>IF(Hospital[[#This Row],[Age]]&lt;=12,"Child",
IF(Hospital[[#This Row],[Age]]&lt;=19,"Teen",
IF(Hospital[[#This Row],[Age]]&lt;=35,"Young Adult",
IF(Hospital[[#This Row],[Age]]&lt;=59,"Adult",
"Senior"))))</f>
        <v>Adult</v>
      </c>
      <c r="D747" t="s">
        <v>0</v>
      </c>
      <c r="E747" s="1">
        <v>44990</v>
      </c>
      <c r="F747" s="1" t="str">
        <f t="shared" si="22"/>
        <v>March</v>
      </c>
      <c r="G747" t="s">
        <v>11</v>
      </c>
      <c r="H747" t="s">
        <v>12</v>
      </c>
      <c r="I747" t="s">
        <v>18</v>
      </c>
      <c r="J747" t="str">
        <f t="shared" si="23"/>
        <v>Error: Should be None</v>
      </c>
      <c r="K747">
        <v>4</v>
      </c>
      <c r="L747" s="2">
        <v>105.41</v>
      </c>
      <c r="M747" t="s">
        <v>4</v>
      </c>
    </row>
    <row r="748" spans="1:13" x14ac:dyDescent="0.35">
      <c r="A748">
        <v>747</v>
      </c>
      <c r="B748">
        <v>79</v>
      </c>
      <c r="C748" t="str">
        <f>IF(Hospital[[#This Row],[Age]]&lt;=12,"Child",
IF(Hospital[[#This Row],[Age]]&lt;=19,"Teen",
IF(Hospital[[#This Row],[Age]]&lt;=35,"Young Adult",
IF(Hospital[[#This Row],[Age]]&lt;=59,"Adult",
"Senior"))))</f>
        <v>Senior</v>
      </c>
      <c r="D748" t="s">
        <v>0</v>
      </c>
      <c r="E748" s="1">
        <v>45430</v>
      </c>
      <c r="F748" s="1" t="str">
        <f t="shared" si="22"/>
        <v>May</v>
      </c>
      <c r="G748" t="s">
        <v>1</v>
      </c>
      <c r="H748" t="s">
        <v>17</v>
      </c>
      <c r="I748" t="s">
        <v>20</v>
      </c>
      <c r="J748" t="str">
        <f t="shared" si="23"/>
        <v>Error: Should be None</v>
      </c>
      <c r="K748">
        <v>1</v>
      </c>
      <c r="L748" s="2">
        <v>89.06</v>
      </c>
      <c r="M748" t="s">
        <v>10</v>
      </c>
    </row>
    <row r="749" spans="1:13" x14ac:dyDescent="0.35">
      <c r="A749">
        <v>748</v>
      </c>
      <c r="B749">
        <v>83</v>
      </c>
      <c r="C749" t="str">
        <f>IF(Hospital[[#This Row],[Age]]&lt;=12,"Child",
IF(Hospital[[#This Row],[Age]]&lt;=19,"Teen",
IF(Hospital[[#This Row],[Age]]&lt;=35,"Young Adult",
IF(Hospital[[#This Row],[Age]]&lt;=59,"Adult",
"Senior"))))</f>
        <v>Senior</v>
      </c>
      <c r="D749" t="s">
        <v>5</v>
      </c>
      <c r="E749" s="1">
        <v>45150</v>
      </c>
      <c r="F749" s="1" t="str">
        <f t="shared" si="22"/>
        <v>August</v>
      </c>
      <c r="G749" t="s">
        <v>6</v>
      </c>
      <c r="H749" t="s">
        <v>9</v>
      </c>
      <c r="I749" t="s">
        <v>3</v>
      </c>
      <c r="J749" t="str">
        <f t="shared" si="23"/>
        <v>Error: Should be None</v>
      </c>
      <c r="K749">
        <v>4</v>
      </c>
      <c r="L749" s="2">
        <v>69.58</v>
      </c>
      <c r="M749" t="s">
        <v>4</v>
      </c>
    </row>
    <row r="750" spans="1:13" x14ac:dyDescent="0.35">
      <c r="A750">
        <v>749</v>
      </c>
      <c r="B750">
        <v>33</v>
      </c>
      <c r="C75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50" t="s">
        <v>0</v>
      </c>
      <c r="E750" s="1">
        <v>44999</v>
      </c>
      <c r="F750" s="1" t="str">
        <f t="shared" si="22"/>
        <v>March</v>
      </c>
      <c r="G750" t="s">
        <v>11</v>
      </c>
      <c r="H750" t="s">
        <v>9</v>
      </c>
      <c r="I750" t="s">
        <v>3</v>
      </c>
      <c r="J750" t="str">
        <f t="shared" si="23"/>
        <v>Error: Should be None</v>
      </c>
      <c r="K750">
        <v>7</v>
      </c>
      <c r="L750" s="2">
        <v>91.45</v>
      </c>
      <c r="M750" t="s">
        <v>4</v>
      </c>
    </row>
    <row r="751" spans="1:13" x14ac:dyDescent="0.35">
      <c r="A751">
        <v>750</v>
      </c>
      <c r="B751">
        <v>50</v>
      </c>
      <c r="C751" t="str">
        <f>IF(Hospital[[#This Row],[Age]]&lt;=12,"Child",
IF(Hospital[[#This Row],[Age]]&lt;=19,"Teen",
IF(Hospital[[#This Row],[Age]]&lt;=35,"Young Adult",
IF(Hospital[[#This Row],[Age]]&lt;=59,"Adult",
"Senior"))))</f>
        <v>Adult</v>
      </c>
      <c r="D751" t="s">
        <v>0</v>
      </c>
      <c r="E751" s="1">
        <v>44965</v>
      </c>
      <c r="F751" s="1" t="str">
        <f t="shared" si="22"/>
        <v>February</v>
      </c>
      <c r="G751" t="s">
        <v>1</v>
      </c>
      <c r="H751" t="s">
        <v>7</v>
      </c>
      <c r="I751" t="s">
        <v>3</v>
      </c>
      <c r="J751" t="str">
        <f t="shared" si="23"/>
        <v>Error: Should be None</v>
      </c>
      <c r="K751">
        <v>5</v>
      </c>
      <c r="L751" s="2">
        <v>454.22</v>
      </c>
      <c r="M751" t="s">
        <v>4</v>
      </c>
    </row>
    <row r="752" spans="1:13" x14ac:dyDescent="0.35">
      <c r="A752">
        <v>751</v>
      </c>
      <c r="B752">
        <v>63</v>
      </c>
      <c r="C752" t="str">
        <f>IF(Hospital[[#This Row],[Age]]&lt;=12,"Child",
IF(Hospital[[#This Row],[Age]]&lt;=19,"Teen",
IF(Hospital[[#This Row],[Age]]&lt;=35,"Young Adult",
IF(Hospital[[#This Row],[Age]]&lt;=59,"Adult",
"Senior"))))</f>
        <v>Senior</v>
      </c>
      <c r="D752" t="s">
        <v>0</v>
      </c>
      <c r="E752" s="1">
        <v>45454</v>
      </c>
      <c r="F752" s="1" t="str">
        <f t="shared" si="22"/>
        <v>June</v>
      </c>
      <c r="G752" t="s">
        <v>6</v>
      </c>
      <c r="H752" t="s">
        <v>7</v>
      </c>
      <c r="I752" t="s">
        <v>3</v>
      </c>
      <c r="J752" t="str">
        <f t="shared" si="23"/>
        <v>Error: Should be None</v>
      </c>
      <c r="K752">
        <v>6</v>
      </c>
      <c r="L752" s="2">
        <v>425.14</v>
      </c>
      <c r="M752" t="s">
        <v>4</v>
      </c>
    </row>
    <row r="753" spans="1:13" x14ac:dyDescent="0.35">
      <c r="A753">
        <v>752</v>
      </c>
      <c r="B753">
        <v>1</v>
      </c>
      <c r="C753" t="str">
        <f>IF(Hospital[[#This Row],[Age]]&lt;=12,"Child",
IF(Hospital[[#This Row],[Age]]&lt;=19,"Teen",
IF(Hospital[[#This Row],[Age]]&lt;=35,"Young Adult",
IF(Hospital[[#This Row],[Age]]&lt;=59,"Adult",
"Senior"))))</f>
        <v>Child</v>
      </c>
      <c r="D753" t="s">
        <v>0</v>
      </c>
      <c r="E753" s="1">
        <v>45480</v>
      </c>
      <c r="F753" s="1" t="str">
        <f t="shared" si="22"/>
        <v>July</v>
      </c>
      <c r="G753" t="s">
        <v>6</v>
      </c>
      <c r="H753" t="s">
        <v>17</v>
      </c>
      <c r="I753" t="s">
        <v>15</v>
      </c>
      <c r="J753" t="str">
        <f t="shared" si="23"/>
        <v>Error: Should be None</v>
      </c>
      <c r="K753">
        <v>9</v>
      </c>
      <c r="L753" s="2">
        <v>276.95</v>
      </c>
      <c r="M753" t="s">
        <v>16</v>
      </c>
    </row>
    <row r="754" spans="1:13" x14ac:dyDescent="0.35">
      <c r="A754">
        <v>753</v>
      </c>
      <c r="B754">
        <v>39</v>
      </c>
      <c r="C754" t="str">
        <f>IF(Hospital[[#This Row],[Age]]&lt;=12,"Child",
IF(Hospital[[#This Row],[Age]]&lt;=19,"Teen",
IF(Hospital[[#This Row],[Age]]&lt;=35,"Young Adult",
IF(Hospital[[#This Row],[Age]]&lt;=59,"Adult",
"Senior"))))</f>
        <v>Adult</v>
      </c>
      <c r="D754" t="s">
        <v>0</v>
      </c>
      <c r="E754" s="1">
        <v>45268</v>
      </c>
      <c r="F754" s="1" t="str">
        <f t="shared" si="22"/>
        <v>December</v>
      </c>
      <c r="G754" t="s">
        <v>11</v>
      </c>
      <c r="H754" t="s">
        <v>7</v>
      </c>
      <c r="I754" t="s">
        <v>3</v>
      </c>
      <c r="J754" t="str">
        <f t="shared" si="23"/>
        <v>Error: Should be None</v>
      </c>
      <c r="K754">
        <v>10</v>
      </c>
      <c r="L754" s="2">
        <v>498.57</v>
      </c>
      <c r="M754" t="s">
        <v>4</v>
      </c>
    </row>
    <row r="755" spans="1:13" x14ac:dyDescent="0.35">
      <c r="A755">
        <v>754</v>
      </c>
      <c r="B755">
        <v>44</v>
      </c>
      <c r="C755" t="str">
        <f>IF(Hospital[[#This Row],[Age]]&lt;=12,"Child",
IF(Hospital[[#This Row],[Age]]&lt;=19,"Teen",
IF(Hospital[[#This Row],[Age]]&lt;=35,"Young Adult",
IF(Hospital[[#This Row],[Age]]&lt;=59,"Adult",
"Senior"))))</f>
        <v>Adult</v>
      </c>
      <c r="D755" t="s">
        <v>5</v>
      </c>
      <c r="E755" s="1">
        <v>45301</v>
      </c>
      <c r="F755" s="1" t="str">
        <f t="shared" si="22"/>
        <v>January</v>
      </c>
      <c r="G755" t="s">
        <v>6</v>
      </c>
      <c r="H755" t="s">
        <v>9</v>
      </c>
      <c r="I755" t="s">
        <v>3</v>
      </c>
      <c r="J755" t="str">
        <f t="shared" si="23"/>
        <v>Error: Should be None</v>
      </c>
      <c r="K755">
        <v>4</v>
      </c>
      <c r="L755" s="2">
        <v>330.94</v>
      </c>
      <c r="M755" t="s">
        <v>8</v>
      </c>
    </row>
    <row r="756" spans="1:13" x14ac:dyDescent="0.35">
      <c r="A756">
        <v>755</v>
      </c>
      <c r="B756">
        <v>50</v>
      </c>
      <c r="C756" t="str">
        <f>IF(Hospital[[#This Row],[Age]]&lt;=12,"Child",
IF(Hospital[[#This Row],[Age]]&lt;=19,"Teen",
IF(Hospital[[#This Row],[Age]]&lt;=35,"Young Adult",
IF(Hospital[[#This Row],[Age]]&lt;=59,"Adult",
"Senior"))))</f>
        <v>Adult</v>
      </c>
      <c r="D756" t="s">
        <v>5</v>
      </c>
      <c r="E756" s="1">
        <v>45494</v>
      </c>
      <c r="F756" s="1" t="str">
        <f t="shared" si="22"/>
        <v>July</v>
      </c>
      <c r="G756" t="s">
        <v>19</v>
      </c>
      <c r="H756" t="s">
        <v>2</v>
      </c>
      <c r="I756" t="s">
        <v>3</v>
      </c>
      <c r="J756" t="str">
        <f t="shared" si="23"/>
        <v>Error: Should be None</v>
      </c>
      <c r="K756">
        <v>6</v>
      </c>
      <c r="L756" s="2">
        <v>450.3</v>
      </c>
      <c r="M756" t="s">
        <v>16</v>
      </c>
    </row>
    <row r="757" spans="1:13" x14ac:dyDescent="0.35">
      <c r="A757">
        <v>756</v>
      </c>
      <c r="B757">
        <v>81</v>
      </c>
      <c r="C757" t="str">
        <f>IF(Hospital[[#This Row],[Age]]&lt;=12,"Child",
IF(Hospital[[#This Row],[Age]]&lt;=19,"Teen",
IF(Hospital[[#This Row],[Age]]&lt;=35,"Young Adult",
IF(Hospital[[#This Row],[Age]]&lt;=59,"Adult",
"Senior"))))</f>
        <v>Senior</v>
      </c>
      <c r="D757" t="s">
        <v>0</v>
      </c>
      <c r="E757" s="1">
        <v>45425</v>
      </c>
      <c r="F757" s="1" t="str">
        <f t="shared" si="22"/>
        <v>May</v>
      </c>
      <c r="G757" t="s">
        <v>1</v>
      </c>
      <c r="H757" t="s">
        <v>2</v>
      </c>
      <c r="I757" t="s">
        <v>3</v>
      </c>
      <c r="J757" t="str">
        <f t="shared" si="23"/>
        <v>Error: Should be None</v>
      </c>
      <c r="K757">
        <v>2</v>
      </c>
      <c r="L757" s="2">
        <v>37.14</v>
      </c>
      <c r="M757" t="s">
        <v>4</v>
      </c>
    </row>
    <row r="758" spans="1:13" x14ac:dyDescent="0.35">
      <c r="A758">
        <v>757</v>
      </c>
      <c r="B758">
        <v>63</v>
      </c>
      <c r="C758" t="str">
        <f>IF(Hospital[[#This Row],[Age]]&lt;=12,"Child",
IF(Hospital[[#This Row],[Age]]&lt;=19,"Teen",
IF(Hospital[[#This Row],[Age]]&lt;=35,"Young Adult",
IF(Hospital[[#This Row],[Age]]&lt;=59,"Adult",
"Senior"))))</f>
        <v>Senior</v>
      </c>
      <c r="D758" t="s">
        <v>0</v>
      </c>
      <c r="E758" s="1">
        <v>45534</v>
      </c>
      <c r="F758" s="1" t="str">
        <f t="shared" si="22"/>
        <v>August</v>
      </c>
      <c r="G758" t="s">
        <v>11</v>
      </c>
      <c r="H758" t="s">
        <v>17</v>
      </c>
      <c r="I758" t="s">
        <v>3</v>
      </c>
      <c r="J758" t="str">
        <f t="shared" si="23"/>
        <v>Error: Should be None</v>
      </c>
      <c r="K758">
        <v>10</v>
      </c>
      <c r="L758" s="2">
        <v>167.71</v>
      </c>
      <c r="M758" t="s">
        <v>10</v>
      </c>
    </row>
    <row r="759" spans="1:13" x14ac:dyDescent="0.35">
      <c r="A759">
        <v>758</v>
      </c>
      <c r="B759">
        <v>44</v>
      </c>
      <c r="C759" t="str">
        <f>IF(Hospital[[#This Row],[Age]]&lt;=12,"Child",
IF(Hospital[[#This Row],[Age]]&lt;=19,"Teen",
IF(Hospital[[#This Row],[Age]]&lt;=35,"Young Adult",
IF(Hospital[[#This Row],[Age]]&lt;=59,"Adult",
"Senior"))))</f>
        <v>Adult</v>
      </c>
      <c r="D759" t="s">
        <v>5</v>
      </c>
      <c r="E759" s="1">
        <v>44943</v>
      </c>
      <c r="F759" s="1" t="str">
        <f t="shared" si="22"/>
        <v>January</v>
      </c>
      <c r="G759" t="s">
        <v>19</v>
      </c>
      <c r="H759" t="s">
        <v>2</v>
      </c>
      <c r="I759" t="s">
        <v>3</v>
      </c>
      <c r="J759" t="str">
        <f t="shared" si="23"/>
        <v>Error: Should be None</v>
      </c>
      <c r="K759">
        <v>0</v>
      </c>
      <c r="L759" s="2">
        <v>214.64</v>
      </c>
      <c r="M759" t="s">
        <v>8</v>
      </c>
    </row>
    <row r="760" spans="1:13" x14ac:dyDescent="0.35">
      <c r="A760">
        <v>759</v>
      </c>
      <c r="B760">
        <v>67</v>
      </c>
      <c r="C760" t="str">
        <f>IF(Hospital[[#This Row],[Age]]&lt;=12,"Child",
IF(Hospital[[#This Row],[Age]]&lt;=19,"Teen",
IF(Hospital[[#This Row],[Age]]&lt;=35,"Young Adult",
IF(Hospital[[#This Row],[Age]]&lt;=59,"Adult",
"Senior"))))</f>
        <v>Senior</v>
      </c>
      <c r="D760" t="s">
        <v>0</v>
      </c>
      <c r="E760" s="1">
        <v>45596</v>
      </c>
      <c r="F760" s="1" t="str">
        <f t="shared" si="22"/>
        <v>October</v>
      </c>
      <c r="G760" t="s">
        <v>1</v>
      </c>
      <c r="H760" t="s">
        <v>7</v>
      </c>
      <c r="I760" t="s">
        <v>3</v>
      </c>
      <c r="J760" t="str">
        <f t="shared" si="23"/>
        <v>Error: Should be None</v>
      </c>
      <c r="K760">
        <v>9</v>
      </c>
      <c r="L760" s="2">
        <v>131.83000000000001</v>
      </c>
      <c r="M760" t="s">
        <v>4</v>
      </c>
    </row>
    <row r="761" spans="1:13" x14ac:dyDescent="0.35">
      <c r="A761">
        <v>760</v>
      </c>
      <c r="B761">
        <v>19</v>
      </c>
      <c r="C761" t="str">
        <f>IF(Hospital[[#This Row],[Age]]&lt;=12,"Child",
IF(Hospital[[#This Row],[Age]]&lt;=19,"Teen",
IF(Hospital[[#This Row],[Age]]&lt;=35,"Young Adult",
IF(Hospital[[#This Row],[Age]]&lt;=59,"Adult",
"Senior"))))</f>
        <v>Teen</v>
      </c>
      <c r="D761" t="s">
        <v>0</v>
      </c>
      <c r="E761" s="1">
        <v>44964</v>
      </c>
      <c r="F761" s="1" t="str">
        <f t="shared" si="22"/>
        <v>February</v>
      </c>
      <c r="G761" t="s">
        <v>11</v>
      </c>
      <c r="H761" t="s">
        <v>7</v>
      </c>
      <c r="I761" t="s">
        <v>3</v>
      </c>
      <c r="J761" t="str">
        <f t="shared" si="23"/>
        <v>Error: Should be None</v>
      </c>
      <c r="K761">
        <v>7</v>
      </c>
      <c r="L761" s="2">
        <v>455.45</v>
      </c>
      <c r="M761" t="s">
        <v>4</v>
      </c>
    </row>
    <row r="762" spans="1:13" x14ac:dyDescent="0.35">
      <c r="A762">
        <v>761</v>
      </c>
      <c r="B762">
        <v>84</v>
      </c>
      <c r="C762" t="str">
        <f>IF(Hospital[[#This Row],[Age]]&lt;=12,"Child",
IF(Hospital[[#This Row],[Age]]&lt;=19,"Teen",
IF(Hospital[[#This Row],[Age]]&lt;=35,"Young Adult",
IF(Hospital[[#This Row],[Age]]&lt;=59,"Adult",
"Senior"))))</f>
        <v>Senior</v>
      </c>
      <c r="D762" t="s">
        <v>5</v>
      </c>
      <c r="E762" s="1">
        <v>45175</v>
      </c>
      <c r="F762" s="1" t="str">
        <f t="shared" si="22"/>
        <v>September</v>
      </c>
      <c r="G762" t="s">
        <v>11</v>
      </c>
      <c r="H762" t="s">
        <v>7</v>
      </c>
      <c r="I762" t="s">
        <v>3</v>
      </c>
      <c r="J762" t="str">
        <f t="shared" si="23"/>
        <v>Error: Should be None</v>
      </c>
      <c r="K762">
        <v>2</v>
      </c>
      <c r="L762" s="2">
        <v>323.68</v>
      </c>
      <c r="M762" t="s">
        <v>16</v>
      </c>
    </row>
    <row r="763" spans="1:13" x14ac:dyDescent="0.35">
      <c r="A763">
        <v>762</v>
      </c>
      <c r="B763">
        <v>79</v>
      </c>
      <c r="C763" t="str">
        <f>IF(Hospital[[#This Row],[Age]]&lt;=12,"Child",
IF(Hospital[[#This Row],[Age]]&lt;=19,"Teen",
IF(Hospital[[#This Row],[Age]]&lt;=35,"Young Adult",
IF(Hospital[[#This Row],[Age]]&lt;=59,"Adult",
"Senior"))))</f>
        <v>Senior</v>
      </c>
      <c r="D763" t="s">
        <v>5</v>
      </c>
      <c r="E763" s="1">
        <v>45026</v>
      </c>
      <c r="F763" s="1" t="str">
        <f t="shared" si="22"/>
        <v>April</v>
      </c>
      <c r="G763" t="s">
        <v>11</v>
      </c>
      <c r="H763" t="s">
        <v>12</v>
      </c>
      <c r="I763" t="s">
        <v>15</v>
      </c>
      <c r="J763" t="str">
        <f t="shared" si="23"/>
        <v>Error: Should be None</v>
      </c>
      <c r="K763">
        <v>1</v>
      </c>
      <c r="L763" s="2">
        <v>258.63</v>
      </c>
      <c r="M763" t="s">
        <v>8</v>
      </c>
    </row>
    <row r="764" spans="1:13" x14ac:dyDescent="0.35">
      <c r="A764">
        <v>763</v>
      </c>
      <c r="B764">
        <v>55</v>
      </c>
      <c r="C764" t="str">
        <f>IF(Hospital[[#This Row],[Age]]&lt;=12,"Child",
IF(Hospital[[#This Row],[Age]]&lt;=19,"Teen",
IF(Hospital[[#This Row],[Age]]&lt;=35,"Young Adult",
IF(Hospital[[#This Row],[Age]]&lt;=59,"Adult",
"Senior"))))</f>
        <v>Adult</v>
      </c>
      <c r="D764" t="s">
        <v>0</v>
      </c>
      <c r="E764" s="1">
        <v>44991</v>
      </c>
      <c r="F764" s="1" t="str">
        <f t="shared" si="22"/>
        <v>March</v>
      </c>
      <c r="G764" t="s">
        <v>6</v>
      </c>
      <c r="H764" t="s">
        <v>17</v>
      </c>
      <c r="I764" t="s">
        <v>18</v>
      </c>
      <c r="J764" t="str">
        <f t="shared" si="23"/>
        <v>Error: Should be None</v>
      </c>
      <c r="K764">
        <v>1</v>
      </c>
      <c r="L764" s="2">
        <v>488.41</v>
      </c>
      <c r="M764" t="s">
        <v>8</v>
      </c>
    </row>
    <row r="765" spans="1:13" x14ac:dyDescent="0.35">
      <c r="A765">
        <v>764</v>
      </c>
      <c r="B765">
        <v>6</v>
      </c>
      <c r="C765" t="str">
        <f>IF(Hospital[[#This Row],[Age]]&lt;=12,"Child",
IF(Hospital[[#This Row],[Age]]&lt;=19,"Teen",
IF(Hospital[[#This Row],[Age]]&lt;=35,"Young Adult",
IF(Hospital[[#This Row],[Age]]&lt;=59,"Adult",
"Senior"))))</f>
        <v>Child</v>
      </c>
      <c r="D765" t="s">
        <v>5</v>
      </c>
      <c r="E765" s="1">
        <v>45256</v>
      </c>
      <c r="F765" s="1" t="str">
        <f t="shared" si="22"/>
        <v>November</v>
      </c>
      <c r="G765" t="s">
        <v>19</v>
      </c>
      <c r="H765" t="s">
        <v>17</v>
      </c>
      <c r="I765" t="s">
        <v>15</v>
      </c>
      <c r="J765" t="str">
        <f t="shared" si="23"/>
        <v>Error: Should be None</v>
      </c>
      <c r="K765">
        <v>1</v>
      </c>
      <c r="L765" s="2">
        <v>151.47</v>
      </c>
      <c r="M765" t="s">
        <v>10</v>
      </c>
    </row>
    <row r="766" spans="1:13" x14ac:dyDescent="0.35">
      <c r="A766">
        <v>765</v>
      </c>
      <c r="B766">
        <v>48</v>
      </c>
      <c r="C766" t="str">
        <f>IF(Hospital[[#This Row],[Age]]&lt;=12,"Child",
IF(Hospital[[#This Row],[Age]]&lt;=19,"Teen",
IF(Hospital[[#This Row],[Age]]&lt;=35,"Young Adult",
IF(Hospital[[#This Row],[Age]]&lt;=59,"Adult",
"Senior"))))</f>
        <v>Adult</v>
      </c>
      <c r="D766" t="s">
        <v>5</v>
      </c>
      <c r="E766" s="1">
        <v>45099</v>
      </c>
      <c r="F766" s="1" t="str">
        <f t="shared" si="22"/>
        <v>June</v>
      </c>
      <c r="G766" t="s">
        <v>6</v>
      </c>
      <c r="H766" t="s">
        <v>7</v>
      </c>
      <c r="I766" t="s">
        <v>3</v>
      </c>
      <c r="J766" t="str">
        <f t="shared" si="23"/>
        <v>Error: Should be None</v>
      </c>
      <c r="K766">
        <v>3</v>
      </c>
      <c r="L766" s="2">
        <v>464.32</v>
      </c>
      <c r="M766" t="s">
        <v>4</v>
      </c>
    </row>
    <row r="767" spans="1:13" x14ac:dyDescent="0.35">
      <c r="A767">
        <v>766</v>
      </c>
      <c r="B767">
        <v>81</v>
      </c>
      <c r="C767" t="str">
        <f>IF(Hospital[[#This Row],[Age]]&lt;=12,"Child",
IF(Hospital[[#This Row],[Age]]&lt;=19,"Teen",
IF(Hospital[[#This Row],[Age]]&lt;=35,"Young Adult",
IF(Hospital[[#This Row],[Age]]&lt;=59,"Adult",
"Senior"))))</f>
        <v>Senior</v>
      </c>
      <c r="D767" t="s">
        <v>0</v>
      </c>
      <c r="E767" s="1">
        <v>45063</v>
      </c>
      <c r="F767" s="1" t="str">
        <f t="shared" si="22"/>
        <v>May</v>
      </c>
      <c r="G767" t="s">
        <v>1</v>
      </c>
      <c r="H767" t="s">
        <v>2</v>
      </c>
      <c r="I767" t="s">
        <v>3</v>
      </c>
      <c r="J767" t="str">
        <f t="shared" si="23"/>
        <v>Error: Should be None</v>
      </c>
      <c r="K767">
        <v>0</v>
      </c>
      <c r="L767" s="2">
        <v>442.22</v>
      </c>
      <c r="M767" t="s">
        <v>4</v>
      </c>
    </row>
    <row r="768" spans="1:13" x14ac:dyDescent="0.35">
      <c r="A768">
        <v>767</v>
      </c>
      <c r="B768">
        <v>23</v>
      </c>
      <c r="C76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68" t="s">
        <v>5</v>
      </c>
      <c r="E768" s="1">
        <v>44933</v>
      </c>
      <c r="F768" s="1" t="str">
        <f t="shared" si="22"/>
        <v>January</v>
      </c>
      <c r="G768" t="s">
        <v>19</v>
      </c>
      <c r="H768" t="s">
        <v>2</v>
      </c>
      <c r="I768" t="s">
        <v>3</v>
      </c>
      <c r="J768" t="str">
        <f t="shared" si="23"/>
        <v>Error: Should be None</v>
      </c>
      <c r="K768">
        <v>6</v>
      </c>
      <c r="L768" s="2">
        <v>352.88</v>
      </c>
      <c r="M768" t="s">
        <v>10</v>
      </c>
    </row>
    <row r="769" spans="1:13" x14ac:dyDescent="0.35">
      <c r="A769">
        <v>768</v>
      </c>
      <c r="B769">
        <v>27</v>
      </c>
      <c r="C76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69" t="s">
        <v>5</v>
      </c>
      <c r="E769" s="1">
        <v>45635</v>
      </c>
      <c r="F769" s="1" t="str">
        <f t="shared" si="22"/>
        <v>December</v>
      </c>
      <c r="G769" t="s">
        <v>19</v>
      </c>
      <c r="H769" t="s">
        <v>17</v>
      </c>
      <c r="I769" t="s">
        <v>3</v>
      </c>
      <c r="J769" t="str">
        <f t="shared" si="23"/>
        <v>Error: Should be None</v>
      </c>
      <c r="K769">
        <v>7</v>
      </c>
      <c r="L769" s="2">
        <v>217.78</v>
      </c>
      <c r="M769" t="s">
        <v>8</v>
      </c>
    </row>
    <row r="770" spans="1:13" x14ac:dyDescent="0.35">
      <c r="A770">
        <v>769</v>
      </c>
      <c r="B770">
        <v>5</v>
      </c>
      <c r="C770" t="str">
        <f>IF(Hospital[[#This Row],[Age]]&lt;=12,"Child",
IF(Hospital[[#This Row],[Age]]&lt;=19,"Teen",
IF(Hospital[[#This Row],[Age]]&lt;=35,"Young Adult",
IF(Hospital[[#This Row],[Age]]&lt;=59,"Adult",
"Senior"))))</f>
        <v>Child</v>
      </c>
      <c r="D770" t="s">
        <v>5</v>
      </c>
      <c r="E770" s="1">
        <v>45552</v>
      </c>
      <c r="F770" s="1" t="str">
        <f t="shared" si="22"/>
        <v>September</v>
      </c>
      <c r="G770" t="s">
        <v>6</v>
      </c>
      <c r="H770" t="s">
        <v>7</v>
      </c>
      <c r="I770" t="s">
        <v>3</v>
      </c>
      <c r="J770" t="str">
        <f t="shared" si="23"/>
        <v>Error: Should be None</v>
      </c>
      <c r="K770">
        <v>9</v>
      </c>
      <c r="L770" s="2">
        <v>476.14</v>
      </c>
      <c r="M770" t="s">
        <v>16</v>
      </c>
    </row>
    <row r="771" spans="1:13" x14ac:dyDescent="0.35">
      <c r="A771">
        <v>770</v>
      </c>
      <c r="B771">
        <v>1</v>
      </c>
      <c r="C771" t="str">
        <f>IF(Hospital[[#This Row],[Age]]&lt;=12,"Child",
IF(Hospital[[#This Row],[Age]]&lt;=19,"Teen",
IF(Hospital[[#This Row],[Age]]&lt;=35,"Young Adult",
IF(Hospital[[#This Row],[Age]]&lt;=59,"Adult",
"Senior"))))</f>
        <v>Child</v>
      </c>
      <c r="D771" t="s">
        <v>5</v>
      </c>
      <c r="E771" s="1">
        <v>45283</v>
      </c>
      <c r="F771" s="1" t="str">
        <f t="shared" ref="F771:F834" si="24">TEXT(E771, "mmmm")</f>
        <v>December</v>
      </c>
      <c r="G771" t="s">
        <v>1</v>
      </c>
      <c r="H771" t="s">
        <v>12</v>
      </c>
      <c r="I771" t="s">
        <v>15</v>
      </c>
      <c r="J771" t="str">
        <f t="shared" ref="J771:J834" si="25">IF(OR(G771="UTI", G771="Pneumonia", G771="Typhoid"),
   IF(H771="None","Error: Should have antibiotics","OK"),
   IF(H771&lt;&gt;"None","Error: Should be None","OK"))</f>
        <v>Error: Should be None</v>
      </c>
      <c r="K771">
        <v>8</v>
      </c>
      <c r="L771" s="2">
        <v>488.86</v>
      </c>
      <c r="M771" t="s">
        <v>16</v>
      </c>
    </row>
    <row r="772" spans="1:13" x14ac:dyDescent="0.35">
      <c r="A772">
        <v>771</v>
      </c>
      <c r="B772">
        <v>29</v>
      </c>
      <c r="C77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72" t="s">
        <v>0</v>
      </c>
      <c r="E772" s="1">
        <v>45479</v>
      </c>
      <c r="F772" s="1" t="str">
        <f t="shared" si="24"/>
        <v>July</v>
      </c>
      <c r="G772" t="s">
        <v>1</v>
      </c>
      <c r="H772" t="s">
        <v>9</v>
      </c>
      <c r="I772" t="s">
        <v>3</v>
      </c>
      <c r="J772" t="str">
        <f t="shared" si="25"/>
        <v>Error: Should be None</v>
      </c>
      <c r="K772">
        <v>4</v>
      </c>
      <c r="L772" s="2">
        <v>45.47</v>
      </c>
      <c r="M772" t="s">
        <v>4</v>
      </c>
    </row>
    <row r="773" spans="1:13" x14ac:dyDescent="0.35">
      <c r="A773">
        <v>772</v>
      </c>
      <c r="B773">
        <v>61</v>
      </c>
      <c r="C773" t="str">
        <f>IF(Hospital[[#This Row],[Age]]&lt;=12,"Child",
IF(Hospital[[#This Row],[Age]]&lt;=19,"Teen",
IF(Hospital[[#This Row],[Age]]&lt;=35,"Young Adult",
IF(Hospital[[#This Row],[Age]]&lt;=59,"Adult",
"Senior"))))</f>
        <v>Senior</v>
      </c>
      <c r="D773" t="s">
        <v>0</v>
      </c>
      <c r="E773" s="1">
        <v>45079</v>
      </c>
      <c r="F773" s="1" t="str">
        <f t="shared" si="24"/>
        <v>June</v>
      </c>
      <c r="G773" t="s">
        <v>1</v>
      </c>
      <c r="H773" t="s">
        <v>7</v>
      </c>
      <c r="I773" t="s">
        <v>3</v>
      </c>
      <c r="J773" t="str">
        <f t="shared" si="25"/>
        <v>Error: Should be None</v>
      </c>
      <c r="K773">
        <v>2</v>
      </c>
      <c r="L773" s="2">
        <v>341.67</v>
      </c>
      <c r="M773" t="s">
        <v>4</v>
      </c>
    </row>
    <row r="774" spans="1:13" x14ac:dyDescent="0.35">
      <c r="A774">
        <v>773</v>
      </c>
      <c r="B774">
        <v>47</v>
      </c>
      <c r="C774" t="str">
        <f>IF(Hospital[[#This Row],[Age]]&lt;=12,"Child",
IF(Hospital[[#This Row],[Age]]&lt;=19,"Teen",
IF(Hospital[[#This Row],[Age]]&lt;=35,"Young Adult",
IF(Hospital[[#This Row],[Age]]&lt;=59,"Adult",
"Senior"))))</f>
        <v>Adult</v>
      </c>
      <c r="D774" t="s">
        <v>0</v>
      </c>
      <c r="E774" s="1">
        <v>44982</v>
      </c>
      <c r="F774" s="1" t="str">
        <f t="shared" si="24"/>
        <v>February</v>
      </c>
      <c r="G774" t="s">
        <v>1</v>
      </c>
      <c r="H774" t="s">
        <v>7</v>
      </c>
      <c r="I774" t="s">
        <v>3</v>
      </c>
      <c r="J774" t="str">
        <f t="shared" si="25"/>
        <v>Error: Should be None</v>
      </c>
      <c r="K774">
        <v>6</v>
      </c>
      <c r="L774" s="2">
        <v>140.66</v>
      </c>
      <c r="M774" t="s">
        <v>10</v>
      </c>
    </row>
    <row r="775" spans="1:13" x14ac:dyDescent="0.35">
      <c r="A775">
        <v>774</v>
      </c>
      <c r="B775">
        <v>7</v>
      </c>
      <c r="C775" t="str">
        <f>IF(Hospital[[#This Row],[Age]]&lt;=12,"Child",
IF(Hospital[[#This Row],[Age]]&lt;=19,"Teen",
IF(Hospital[[#This Row],[Age]]&lt;=35,"Young Adult",
IF(Hospital[[#This Row],[Age]]&lt;=59,"Adult",
"Senior"))))</f>
        <v>Child</v>
      </c>
      <c r="D775" t="s">
        <v>5</v>
      </c>
      <c r="E775" s="1">
        <v>44971</v>
      </c>
      <c r="F775" s="1" t="str">
        <f t="shared" si="24"/>
        <v>February</v>
      </c>
      <c r="G775" t="s">
        <v>1</v>
      </c>
      <c r="H775" t="s">
        <v>2</v>
      </c>
      <c r="I775" t="s">
        <v>3</v>
      </c>
      <c r="J775" t="str">
        <f t="shared" si="25"/>
        <v>Error: Should be None</v>
      </c>
      <c r="K775">
        <v>0</v>
      </c>
      <c r="L775" s="2">
        <v>252.83</v>
      </c>
      <c r="M775" t="s">
        <v>4</v>
      </c>
    </row>
    <row r="776" spans="1:13" x14ac:dyDescent="0.35">
      <c r="A776">
        <v>775</v>
      </c>
      <c r="B776">
        <v>57</v>
      </c>
      <c r="C776" t="str">
        <f>IF(Hospital[[#This Row],[Age]]&lt;=12,"Child",
IF(Hospital[[#This Row],[Age]]&lt;=19,"Teen",
IF(Hospital[[#This Row],[Age]]&lt;=35,"Young Adult",
IF(Hospital[[#This Row],[Age]]&lt;=59,"Adult",
"Senior"))))</f>
        <v>Adult</v>
      </c>
      <c r="D776" t="s">
        <v>0</v>
      </c>
      <c r="E776" s="1">
        <v>44999</v>
      </c>
      <c r="F776" s="1" t="str">
        <f t="shared" si="24"/>
        <v>March</v>
      </c>
      <c r="G776" t="s">
        <v>6</v>
      </c>
      <c r="H776" t="s">
        <v>17</v>
      </c>
      <c r="I776" t="s">
        <v>13</v>
      </c>
      <c r="J776" t="str">
        <f t="shared" si="25"/>
        <v>Error: Should be None</v>
      </c>
      <c r="K776">
        <v>10</v>
      </c>
      <c r="L776" s="2">
        <v>451.22</v>
      </c>
      <c r="M776" t="s">
        <v>8</v>
      </c>
    </row>
    <row r="777" spans="1:13" x14ac:dyDescent="0.35">
      <c r="A777">
        <v>776</v>
      </c>
      <c r="B777">
        <v>30</v>
      </c>
      <c r="C777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77" t="s">
        <v>5</v>
      </c>
      <c r="E777" s="1">
        <v>45039</v>
      </c>
      <c r="F777" s="1" t="str">
        <f t="shared" si="24"/>
        <v>April</v>
      </c>
      <c r="G777" t="s">
        <v>1</v>
      </c>
      <c r="H777" t="s">
        <v>14</v>
      </c>
      <c r="I777" t="s">
        <v>20</v>
      </c>
      <c r="J777" t="str">
        <f t="shared" si="25"/>
        <v>Error: Should be None</v>
      </c>
      <c r="K777">
        <v>3</v>
      </c>
      <c r="L777" s="2">
        <v>200.26</v>
      </c>
      <c r="M777" t="s">
        <v>8</v>
      </c>
    </row>
    <row r="778" spans="1:13" x14ac:dyDescent="0.35">
      <c r="A778">
        <v>777</v>
      </c>
      <c r="B778">
        <v>75</v>
      </c>
      <c r="C778" t="str">
        <f>IF(Hospital[[#This Row],[Age]]&lt;=12,"Child",
IF(Hospital[[#This Row],[Age]]&lt;=19,"Teen",
IF(Hospital[[#This Row],[Age]]&lt;=35,"Young Adult",
IF(Hospital[[#This Row],[Age]]&lt;=59,"Adult",
"Senior"))))</f>
        <v>Senior</v>
      </c>
      <c r="D778" t="s">
        <v>0</v>
      </c>
      <c r="E778" s="1">
        <v>45002</v>
      </c>
      <c r="F778" s="1" t="str">
        <f t="shared" si="24"/>
        <v>March</v>
      </c>
      <c r="G778" t="s">
        <v>11</v>
      </c>
      <c r="H778" t="s">
        <v>12</v>
      </c>
      <c r="I778" t="s">
        <v>20</v>
      </c>
      <c r="J778" t="str">
        <f t="shared" si="25"/>
        <v>Error: Should be None</v>
      </c>
      <c r="K778">
        <v>2</v>
      </c>
      <c r="L778" s="2">
        <v>123.76</v>
      </c>
      <c r="M778" t="s">
        <v>10</v>
      </c>
    </row>
    <row r="779" spans="1:13" x14ac:dyDescent="0.35">
      <c r="A779">
        <v>778</v>
      </c>
      <c r="B779">
        <v>48</v>
      </c>
      <c r="C779" t="str">
        <f>IF(Hospital[[#This Row],[Age]]&lt;=12,"Child",
IF(Hospital[[#This Row],[Age]]&lt;=19,"Teen",
IF(Hospital[[#This Row],[Age]]&lt;=35,"Young Adult",
IF(Hospital[[#This Row],[Age]]&lt;=59,"Adult",
"Senior"))))</f>
        <v>Adult</v>
      </c>
      <c r="D779" t="s">
        <v>5</v>
      </c>
      <c r="E779" s="1">
        <v>45109</v>
      </c>
      <c r="F779" s="1" t="str">
        <f t="shared" si="24"/>
        <v>July</v>
      </c>
      <c r="G779" t="s">
        <v>6</v>
      </c>
      <c r="H779" t="s">
        <v>12</v>
      </c>
      <c r="I779" t="s">
        <v>13</v>
      </c>
      <c r="J779" t="str">
        <f t="shared" si="25"/>
        <v>Error: Should be None</v>
      </c>
      <c r="K779">
        <v>10</v>
      </c>
      <c r="L779" s="2">
        <v>192.12</v>
      </c>
      <c r="M779" t="s">
        <v>16</v>
      </c>
    </row>
    <row r="780" spans="1:13" x14ac:dyDescent="0.35">
      <c r="A780">
        <v>779</v>
      </c>
      <c r="B780">
        <v>17</v>
      </c>
      <c r="C780" t="str">
        <f>IF(Hospital[[#This Row],[Age]]&lt;=12,"Child",
IF(Hospital[[#This Row],[Age]]&lt;=19,"Teen",
IF(Hospital[[#This Row],[Age]]&lt;=35,"Young Adult",
IF(Hospital[[#This Row],[Age]]&lt;=59,"Adult",
"Senior"))))</f>
        <v>Teen</v>
      </c>
      <c r="D780" t="s">
        <v>5</v>
      </c>
      <c r="E780" s="1">
        <v>45134</v>
      </c>
      <c r="F780" s="1" t="str">
        <f t="shared" si="24"/>
        <v>July</v>
      </c>
      <c r="G780" t="s">
        <v>11</v>
      </c>
      <c r="H780" t="s">
        <v>14</v>
      </c>
      <c r="I780" t="s">
        <v>18</v>
      </c>
      <c r="J780" t="str">
        <f t="shared" si="25"/>
        <v>Error: Should be None</v>
      </c>
      <c r="K780">
        <v>2</v>
      </c>
      <c r="L780" s="2">
        <v>73.33</v>
      </c>
      <c r="M780" t="s">
        <v>10</v>
      </c>
    </row>
    <row r="781" spans="1:13" x14ac:dyDescent="0.35">
      <c r="A781">
        <v>780</v>
      </c>
      <c r="B781">
        <v>22</v>
      </c>
      <c r="C78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81" t="s">
        <v>0</v>
      </c>
      <c r="E781" s="1">
        <v>45396</v>
      </c>
      <c r="F781" s="1" t="str">
        <f t="shared" si="24"/>
        <v>April</v>
      </c>
      <c r="G781" t="s">
        <v>1</v>
      </c>
      <c r="H781" t="s">
        <v>12</v>
      </c>
      <c r="I781" t="s">
        <v>18</v>
      </c>
      <c r="J781" t="str">
        <f t="shared" si="25"/>
        <v>Error: Should be None</v>
      </c>
      <c r="K781">
        <v>9</v>
      </c>
      <c r="L781" s="2">
        <v>95.26</v>
      </c>
      <c r="M781" t="s">
        <v>8</v>
      </c>
    </row>
    <row r="782" spans="1:13" x14ac:dyDescent="0.35">
      <c r="A782">
        <v>781</v>
      </c>
      <c r="B782">
        <v>30</v>
      </c>
      <c r="C78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82" t="s">
        <v>5</v>
      </c>
      <c r="E782" s="1">
        <v>45518</v>
      </c>
      <c r="F782" s="1" t="str">
        <f t="shared" si="24"/>
        <v>August</v>
      </c>
      <c r="G782" t="s">
        <v>6</v>
      </c>
      <c r="H782" t="s">
        <v>9</v>
      </c>
      <c r="I782" t="s">
        <v>3</v>
      </c>
      <c r="J782" t="str">
        <f t="shared" si="25"/>
        <v>Error: Should be None</v>
      </c>
      <c r="K782">
        <v>8</v>
      </c>
      <c r="L782" s="2">
        <v>254.82</v>
      </c>
      <c r="M782" t="s">
        <v>8</v>
      </c>
    </row>
    <row r="783" spans="1:13" x14ac:dyDescent="0.35">
      <c r="A783">
        <v>782</v>
      </c>
      <c r="B783">
        <v>60</v>
      </c>
      <c r="C783" t="str">
        <f>IF(Hospital[[#This Row],[Age]]&lt;=12,"Child",
IF(Hospital[[#This Row],[Age]]&lt;=19,"Teen",
IF(Hospital[[#This Row],[Age]]&lt;=35,"Young Adult",
IF(Hospital[[#This Row],[Age]]&lt;=59,"Adult",
"Senior"))))</f>
        <v>Senior</v>
      </c>
      <c r="D783" t="s">
        <v>0</v>
      </c>
      <c r="E783" s="1">
        <v>45532</v>
      </c>
      <c r="F783" s="1" t="str">
        <f t="shared" si="24"/>
        <v>August</v>
      </c>
      <c r="G783" t="s">
        <v>11</v>
      </c>
      <c r="H783" t="s">
        <v>12</v>
      </c>
      <c r="I783" t="s">
        <v>20</v>
      </c>
      <c r="J783" t="str">
        <f t="shared" si="25"/>
        <v>Error: Should be None</v>
      </c>
      <c r="K783">
        <v>3</v>
      </c>
      <c r="L783" s="2">
        <v>138.96</v>
      </c>
      <c r="M783" t="s">
        <v>10</v>
      </c>
    </row>
    <row r="784" spans="1:13" x14ac:dyDescent="0.35">
      <c r="A784">
        <v>783</v>
      </c>
      <c r="B784">
        <v>76</v>
      </c>
      <c r="C784" t="str">
        <f>IF(Hospital[[#This Row],[Age]]&lt;=12,"Child",
IF(Hospital[[#This Row],[Age]]&lt;=19,"Teen",
IF(Hospital[[#This Row],[Age]]&lt;=35,"Young Adult",
IF(Hospital[[#This Row],[Age]]&lt;=59,"Adult",
"Senior"))))</f>
        <v>Senior</v>
      </c>
      <c r="D784" t="s">
        <v>5</v>
      </c>
      <c r="E784" s="1">
        <v>45520</v>
      </c>
      <c r="F784" s="1" t="str">
        <f t="shared" si="24"/>
        <v>August</v>
      </c>
      <c r="G784" t="s">
        <v>11</v>
      </c>
      <c r="H784" t="s">
        <v>17</v>
      </c>
      <c r="I784" t="s">
        <v>20</v>
      </c>
      <c r="J784" t="str">
        <f t="shared" si="25"/>
        <v>Error: Should be None</v>
      </c>
      <c r="K784">
        <v>0</v>
      </c>
      <c r="L784" s="2">
        <v>39.229999999999997</v>
      </c>
      <c r="M784" t="s">
        <v>10</v>
      </c>
    </row>
    <row r="785" spans="1:13" x14ac:dyDescent="0.35">
      <c r="A785">
        <v>784</v>
      </c>
      <c r="B785">
        <v>55</v>
      </c>
      <c r="C785" t="str">
        <f>IF(Hospital[[#This Row],[Age]]&lt;=12,"Child",
IF(Hospital[[#This Row],[Age]]&lt;=19,"Teen",
IF(Hospital[[#This Row],[Age]]&lt;=35,"Young Adult",
IF(Hospital[[#This Row],[Age]]&lt;=59,"Adult",
"Senior"))))</f>
        <v>Adult</v>
      </c>
      <c r="D785" t="s">
        <v>0</v>
      </c>
      <c r="E785" s="1">
        <v>45443</v>
      </c>
      <c r="F785" s="1" t="str">
        <f t="shared" si="24"/>
        <v>May</v>
      </c>
      <c r="G785" t="s">
        <v>6</v>
      </c>
      <c r="H785" t="s">
        <v>2</v>
      </c>
      <c r="I785" t="s">
        <v>3</v>
      </c>
      <c r="J785" t="str">
        <f t="shared" si="25"/>
        <v>Error: Should be None</v>
      </c>
      <c r="K785">
        <v>1</v>
      </c>
      <c r="L785" s="2">
        <v>237.17</v>
      </c>
      <c r="M785" t="s">
        <v>8</v>
      </c>
    </row>
    <row r="786" spans="1:13" x14ac:dyDescent="0.35">
      <c r="A786">
        <v>785</v>
      </c>
      <c r="B786">
        <v>2</v>
      </c>
      <c r="C786" t="str">
        <f>IF(Hospital[[#This Row],[Age]]&lt;=12,"Child",
IF(Hospital[[#This Row],[Age]]&lt;=19,"Teen",
IF(Hospital[[#This Row],[Age]]&lt;=35,"Young Adult",
IF(Hospital[[#This Row],[Age]]&lt;=59,"Adult",
"Senior"))))</f>
        <v>Child</v>
      </c>
      <c r="D786" t="s">
        <v>0</v>
      </c>
      <c r="E786" s="1">
        <v>45012</v>
      </c>
      <c r="F786" s="1" t="str">
        <f t="shared" si="24"/>
        <v>March</v>
      </c>
      <c r="G786" t="s">
        <v>1</v>
      </c>
      <c r="H786" t="s">
        <v>9</v>
      </c>
      <c r="I786" t="s">
        <v>3</v>
      </c>
      <c r="J786" t="str">
        <f t="shared" si="25"/>
        <v>Error: Should be None</v>
      </c>
      <c r="K786">
        <v>2</v>
      </c>
      <c r="L786" s="2">
        <v>192.03</v>
      </c>
      <c r="M786" t="s">
        <v>8</v>
      </c>
    </row>
    <row r="787" spans="1:13" x14ac:dyDescent="0.35">
      <c r="A787">
        <v>786</v>
      </c>
      <c r="B787">
        <v>3</v>
      </c>
      <c r="C787" t="str">
        <f>IF(Hospital[[#This Row],[Age]]&lt;=12,"Child",
IF(Hospital[[#This Row],[Age]]&lt;=19,"Teen",
IF(Hospital[[#This Row],[Age]]&lt;=35,"Young Adult",
IF(Hospital[[#This Row],[Age]]&lt;=59,"Adult",
"Senior"))))</f>
        <v>Child</v>
      </c>
      <c r="D787" t="s">
        <v>0</v>
      </c>
      <c r="E787" s="1">
        <v>45590</v>
      </c>
      <c r="F787" s="1" t="str">
        <f t="shared" si="24"/>
        <v>October</v>
      </c>
      <c r="G787" t="s">
        <v>19</v>
      </c>
      <c r="H787" t="s">
        <v>2</v>
      </c>
      <c r="I787" t="s">
        <v>3</v>
      </c>
      <c r="J787" t="str">
        <f t="shared" si="25"/>
        <v>Error: Should be None</v>
      </c>
      <c r="K787">
        <v>2</v>
      </c>
      <c r="L787" s="2">
        <v>357.59</v>
      </c>
      <c r="M787" t="s">
        <v>4</v>
      </c>
    </row>
    <row r="788" spans="1:13" x14ac:dyDescent="0.35">
      <c r="A788">
        <v>787</v>
      </c>
      <c r="B788">
        <v>18</v>
      </c>
      <c r="C788" t="str">
        <f>IF(Hospital[[#This Row],[Age]]&lt;=12,"Child",
IF(Hospital[[#This Row],[Age]]&lt;=19,"Teen",
IF(Hospital[[#This Row],[Age]]&lt;=35,"Young Adult",
IF(Hospital[[#This Row],[Age]]&lt;=59,"Adult",
"Senior"))))</f>
        <v>Teen</v>
      </c>
      <c r="D788" t="s">
        <v>0</v>
      </c>
      <c r="E788" s="1">
        <v>45392</v>
      </c>
      <c r="F788" s="1" t="str">
        <f t="shared" si="24"/>
        <v>April</v>
      </c>
      <c r="G788" t="s">
        <v>1</v>
      </c>
      <c r="H788" t="s">
        <v>12</v>
      </c>
      <c r="I788" t="s">
        <v>18</v>
      </c>
      <c r="J788" t="str">
        <f t="shared" si="25"/>
        <v>Error: Should be None</v>
      </c>
      <c r="K788">
        <v>10</v>
      </c>
      <c r="L788" s="2">
        <v>242.86</v>
      </c>
      <c r="M788" t="s">
        <v>4</v>
      </c>
    </row>
    <row r="789" spans="1:13" x14ac:dyDescent="0.35">
      <c r="A789">
        <v>788</v>
      </c>
      <c r="B789">
        <v>50</v>
      </c>
      <c r="C789" t="str">
        <f>IF(Hospital[[#This Row],[Age]]&lt;=12,"Child",
IF(Hospital[[#This Row],[Age]]&lt;=19,"Teen",
IF(Hospital[[#This Row],[Age]]&lt;=35,"Young Adult",
IF(Hospital[[#This Row],[Age]]&lt;=59,"Adult",
"Senior"))))</f>
        <v>Adult</v>
      </c>
      <c r="D789" t="s">
        <v>0</v>
      </c>
      <c r="E789" s="1">
        <v>45569</v>
      </c>
      <c r="F789" s="1" t="str">
        <f t="shared" si="24"/>
        <v>October</v>
      </c>
      <c r="G789" t="s">
        <v>11</v>
      </c>
      <c r="H789" t="s">
        <v>2</v>
      </c>
      <c r="I789" t="s">
        <v>3</v>
      </c>
      <c r="J789" t="str">
        <f t="shared" si="25"/>
        <v>Error: Should be None</v>
      </c>
      <c r="K789">
        <v>4</v>
      </c>
      <c r="L789" s="2">
        <v>224.43</v>
      </c>
      <c r="M789" t="s">
        <v>16</v>
      </c>
    </row>
    <row r="790" spans="1:13" x14ac:dyDescent="0.35">
      <c r="A790">
        <v>789</v>
      </c>
      <c r="B790">
        <v>70</v>
      </c>
      <c r="C790" t="str">
        <f>IF(Hospital[[#This Row],[Age]]&lt;=12,"Child",
IF(Hospital[[#This Row],[Age]]&lt;=19,"Teen",
IF(Hospital[[#This Row],[Age]]&lt;=35,"Young Adult",
IF(Hospital[[#This Row],[Age]]&lt;=59,"Adult",
"Senior"))))</f>
        <v>Senior</v>
      </c>
      <c r="D790" t="s">
        <v>5</v>
      </c>
      <c r="E790" s="1">
        <v>45641</v>
      </c>
      <c r="F790" s="1" t="str">
        <f t="shared" si="24"/>
        <v>December</v>
      </c>
      <c r="G790" t="s">
        <v>11</v>
      </c>
      <c r="H790" t="s">
        <v>9</v>
      </c>
      <c r="I790" t="s">
        <v>3</v>
      </c>
      <c r="J790" t="str">
        <f t="shared" si="25"/>
        <v>Error: Should be None</v>
      </c>
      <c r="K790">
        <v>9</v>
      </c>
      <c r="L790" s="2">
        <v>442.81</v>
      </c>
      <c r="M790" t="s">
        <v>4</v>
      </c>
    </row>
    <row r="791" spans="1:13" x14ac:dyDescent="0.35">
      <c r="A791">
        <v>790</v>
      </c>
      <c r="B791">
        <v>47</v>
      </c>
      <c r="C791" t="str">
        <f>IF(Hospital[[#This Row],[Age]]&lt;=12,"Child",
IF(Hospital[[#This Row],[Age]]&lt;=19,"Teen",
IF(Hospital[[#This Row],[Age]]&lt;=35,"Young Adult",
IF(Hospital[[#This Row],[Age]]&lt;=59,"Adult",
"Senior"))))</f>
        <v>Adult</v>
      </c>
      <c r="D791" t="s">
        <v>5</v>
      </c>
      <c r="E791" s="1">
        <v>45454</v>
      </c>
      <c r="F791" s="1" t="str">
        <f t="shared" si="24"/>
        <v>June</v>
      </c>
      <c r="G791" t="s">
        <v>11</v>
      </c>
      <c r="H791" t="s">
        <v>7</v>
      </c>
      <c r="I791" t="s">
        <v>3</v>
      </c>
      <c r="J791" t="str">
        <f t="shared" si="25"/>
        <v>Error: Should be None</v>
      </c>
      <c r="K791">
        <v>6</v>
      </c>
      <c r="L791" s="2">
        <v>195.48</v>
      </c>
      <c r="M791" t="s">
        <v>4</v>
      </c>
    </row>
    <row r="792" spans="1:13" x14ac:dyDescent="0.35">
      <c r="A792">
        <v>791</v>
      </c>
      <c r="B792">
        <v>23</v>
      </c>
      <c r="C79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792" t="s">
        <v>5</v>
      </c>
      <c r="E792" s="1">
        <v>45301</v>
      </c>
      <c r="F792" s="1" t="str">
        <f t="shared" si="24"/>
        <v>January</v>
      </c>
      <c r="G792" t="s">
        <v>1</v>
      </c>
      <c r="H792" t="s">
        <v>14</v>
      </c>
      <c r="I792" t="s">
        <v>13</v>
      </c>
      <c r="J792" t="str">
        <f t="shared" si="25"/>
        <v>Error: Should be None</v>
      </c>
      <c r="K792">
        <v>5</v>
      </c>
      <c r="L792" s="2">
        <v>134.54</v>
      </c>
      <c r="M792" t="s">
        <v>4</v>
      </c>
    </row>
    <row r="793" spans="1:13" x14ac:dyDescent="0.35">
      <c r="A793">
        <v>792</v>
      </c>
      <c r="B793">
        <v>75</v>
      </c>
      <c r="C793" t="str">
        <f>IF(Hospital[[#This Row],[Age]]&lt;=12,"Child",
IF(Hospital[[#This Row],[Age]]&lt;=19,"Teen",
IF(Hospital[[#This Row],[Age]]&lt;=35,"Young Adult",
IF(Hospital[[#This Row],[Age]]&lt;=59,"Adult",
"Senior"))))</f>
        <v>Senior</v>
      </c>
      <c r="D793" t="s">
        <v>5</v>
      </c>
      <c r="E793" s="1">
        <v>45591</v>
      </c>
      <c r="F793" s="1" t="str">
        <f t="shared" si="24"/>
        <v>October</v>
      </c>
      <c r="G793" t="s">
        <v>1</v>
      </c>
      <c r="H793" t="s">
        <v>12</v>
      </c>
      <c r="I793" t="s">
        <v>18</v>
      </c>
      <c r="J793" t="str">
        <f t="shared" si="25"/>
        <v>Error: Should be None</v>
      </c>
      <c r="K793">
        <v>5</v>
      </c>
      <c r="L793" s="2">
        <v>451.01</v>
      </c>
      <c r="M793" t="s">
        <v>10</v>
      </c>
    </row>
    <row r="794" spans="1:13" x14ac:dyDescent="0.35">
      <c r="A794">
        <v>793</v>
      </c>
      <c r="B794">
        <v>9</v>
      </c>
      <c r="C794" t="str">
        <f>IF(Hospital[[#This Row],[Age]]&lt;=12,"Child",
IF(Hospital[[#This Row],[Age]]&lt;=19,"Teen",
IF(Hospital[[#This Row],[Age]]&lt;=35,"Young Adult",
IF(Hospital[[#This Row],[Age]]&lt;=59,"Adult",
"Senior"))))</f>
        <v>Child</v>
      </c>
      <c r="D794" t="s">
        <v>0</v>
      </c>
      <c r="E794" s="1">
        <v>45210</v>
      </c>
      <c r="F794" s="1" t="str">
        <f t="shared" si="24"/>
        <v>October</v>
      </c>
      <c r="G794" t="s">
        <v>19</v>
      </c>
      <c r="H794" t="s">
        <v>2</v>
      </c>
      <c r="I794" t="s">
        <v>3</v>
      </c>
      <c r="J794" t="str">
        <f t="shared" si="25"/>
        <v>Error: Should be None</v>
      </c>
      <c r="K794">
        <v>7</v>
      </c>
      <c r="L794" s="2">
        <v>253.39</v>
      </c>
      <c r="M794" t="s">
        <v>4</v>
      </c>
    </row>
    <row r="795" spans="1:13" x14ac:dyDescent="0.35">
      <c r="A795">
        <v>794</v>
      </c>
      <c r="B795">
        <v>69</v>
      </c>
      <c r="C795" t="str">
        <f>IF(Hospital[[#This Row],[Age]]&lt;=12,"Child",
IF(Hospital[[#This Row],[Age]]&lt;=19,"Teen",
IF(Hospital[[#This Row],[Age]]&lt;=35,"Young Adult",
IF(Hospital[[#This Row],[Age]]&lt;=59,"Adult",
"Senior"))))</f>
        <v>Senior</v>
      </c>
      <c r="D795" t="s">
        <v>0</v>
      </c>
      <c r="E795" s="1">
        <v>45408</v>
      </c>
      <c r="F795" s="1" t="str">
        <f t="shared" si="24"/>
        <v>April</v>
      </c>
      <c r="G795" t="s">
        <v>6</v>
      </c>
      <c r="H795" t="s">
        <v>7</v>
      </c>
      <c r="I795" t="s">
        <v>3</v>
      </c>
      <c r="J795" t="str">
        <f t="shared" si="25"/>
        <v>Error: Should be None</v>
      </c>
      <c r="K795">
        <v>9</v>
      </c>
      <c r="L795" s="2">
        <v>196.71</v>
      </c>
      <c r="M795" t="s">
        <v>4</v>
      </c>
    </row>
    <row r="796" spans="1:13" x14ac:dyDescent="0.35">
      <c r="A796">
        <v>795</v>
      </c>
      <c r="B796">
        <v>12</v>
      </c>
      <c r="C796" t="str">
        <f>IF(Hospital[[#This Row],[Age]]&lt;=12,"Child",
IF(Hospital[[#This Row],[Age]]&lt;=19,"Teen",
IF(Hospital[[#This Row],[Age]]&lt;=35,"Young Adult",
IF(Hospital[[#This Row],[Age]]&lt;=59,"Adult",
"Senior"))))</f>
        <v>Child</v>
      </c>
      <c r="D796" t="s">
        <v>5</v>
      </c>
      <c r="E796" s="1">
        <v>45119</v>
      </c>
      <c r="F796" s="1" t="str">
        <f t="shared" si="24"/>
        <v>July</v>
      </c>
      <c r="G796" t="s">
        <v>6</v>
      </c>
      <c r="H796" t="s">
        <v>12</v>
      </c>
      <c r="I796" t="s">
        <v>13</v>
      </c>
      <c r="J796" t="str">
        <f t="shared" si="25"/>
        <v>Error: Should be None</v>
      </c>
      <c r="K796">
        <v>4</v>
      </c>
      <c r="L796" s="2">
        <v>479.96</v>
      </c>
      <c r="M796" t="s">
        <v>4</v>
      </c>
    </row>
    <row r="797" spans="1:13" x14ac:dyDescent="0.35">
      <c r="A797">
        <v>796</v>
      </c>
      <c r="B797">
        <v>36</v>
      </c>
      <c r="C797" t="str">
        <f>IF(Hospital[[#This Row],[Age]]&lt;=12,"Child",
IF(Hospital[[#This Row],[Age]]&lt;=19,"Teen",
IF(Hospital[[#This Row],[Age]]&lt;=35,"Young Adult",
IF(Hospital[[#This Row],[Age]]&lt;=59,"Adult",
"Senior"))))</f>
        <v>Adult</v>
      </c>
      <c r="D797" t="s">
        <v>5</v>
      </c>
      <c r="E797" s="1">
        <v>45038</v>
      </c>
      <c r="F797" s="1" t="str">
        <f t="shared" si="24"/>
        <v>April</v>
      </c>
      <c r="G797" t="s">
        <v>1</v>
      </c>
      <c r="H797" t="s">
        <v>17</v>
      </c>
      <c r="I797" t="s">
        <v>20</v>
      </c>
      <c r="J797" t="str">
        <f t="shared" si="25"/>
        <v>Error: Should be None</v>
      </c>
      <c r="K797">
        <v>2</v>
      </c>
      <c r="L797" s="2">
        <v>440</v>
      </c>
      <c r="M797" t="s">
        <v>4</v>
      </c>
    </row>
    <row r="798" spans="1:13" x14ac:dyDescent="0.35">
      <c r="A798">
        <v>797</v>
      </c>
      <c r="B798">
        <v>70</v>
      </c>
      <c r="C798" t="str">
        <f>IF(Hospital[[#This Row],[Age]]&lt;=12,"Child",
IF(Hospital[[#This Row],[Age]]&lt;=19,"Teen",
IF(Hospital[[#This Row],[Age]]&lt;=35,"Young Adult",
IF(Hospital[[#This Row],[Age]]&lt;=59,"Adult",
"Senior"))))</f>
        <v>Senior</v>
      </c>
      <c r="D798" t="s">
        <v>5</v>
      </c>
      <c r="E798" s="1">
        <v>45227</v>
      </c>
      <c r="F798" s="1" t="str">
        <f t="shared" si="24"/>
        <v>October</v>
      </c>
      <c r="G798" t="s">
        <v>6</v>
      </c>
      <c r="H798" t="s">
        <v>12</v>
      </c>
      <c r="I798" t="s">
        <v>18</v>
      </c>
      <c r="J798" t="str">
        <f t="shared" si="25"/>
        <v>Error: Should be None</v>
      </c>
      <c r="K798">
        <v>6</v>
      </c>
      <c r="L798" s="2">
        <v>233.05</v>
      </c>
      <c r="M798" t="s">
        <v>4</v>
      </c>
    </row>
    <row r="799" spans="1:13" x14ac:dyDescent="0.35">
      <c r="A799">
        <v>798</v>
      </c>
      <c r="B799">
        <v>9</v>
      </c>
      <c r="C799" t="str">
        <f>IF(Hospital[[#This Row],[Age]]&lt;=12,"Child",
IF(Hospital[[#This Row],[Age]]&lt;=19,"Teen",
IF(Hospital[[#This Row],[Age]]&lt;=35,"Young Adult",
IF(Hospital[[#This Row],[Age]]&lt;=59,"Adult",
"Senior"))))</f>
        <v>Child</v>
      </c>
      <c r="D799" t="s">
        <v>5</v>
      </c>
      <c r="E799" s="1">
        <v>45225</v>
      </c>
      <c r="F799" s="1" t="str">
        <f t="shared" si="24"/>
        <v>October</v>
      </c>
      <c r="G799" t="s">
        <v>1</v>
      </c>
      <c r="H799" t="s">
        <v>17</v>
      </c>
      <c r="I799" t="s">
        <v>3</v>
      </c>
      <c r="J799" t="str">
        <f t="shared" si="25"/>
        <v>Error: Should be None</v>
      </c>
      <c r="K799">
        <v>10</v>
      </c>
      <c r="L799" s="2">
        <v>181.22</v>
      </c>
      <c r="M799" t="s">
        <v>16</v>
      </c>
    </row>
    <row r="800" spans="1:13" x14ac:dyDescent="0.35">
      <c r="A800">
        <v>799</v>
      </c>
      <c r="B800">
        <v>42</v>
      </c>
      <c r="C800" t="str">
        <f>IF(Hospital[[#This Row],[Age]]&lt;=12,"Child",
IF(Hospital[[#This Row],[Age]]&lt;=19,"Teen",
IF(Hospital[[#This Row],[Age]]&lt;=35,"Young Adult",
IF(Hospital[[#This Row],[Age]]&lt;=59,"Adult",
"Senior"))))</f>
        <v>Adult</v>
      </c>
      <c r="D800" t="s">
        <v>0</v>
      </c>
      <c r="E800" s="1">
        <v>45598</v>
      </c>
      <c r="F800" s="1" t="str">
        <f t="shared" si="24"/>
        <v>November</v>
      </c>
      <c r="G800" t="s">
        <v>6</v>
      </c>
      <c r="H800" t="s">
        <v>7</v>
      </c>
      <c r="I800" t="s">
        <v>3</v>
      </c>
      <c r="J800" t="str">
        <f t="shared" si="25"/>
        <v>Error: Should be None</v>
      </c>
      <c r="K800">
        <v>7</v>
      </c>
      <c r="L800" s="2">
        <v>165.96</v>
      </c>
      <c r="M800" t="s">
        <v>8</v>
      </c>
    </row>
    <row r="801" spans="1:13" x14ac:dyDescent="0.35">
      <c r="A801">
        <v>800</v>
      </c>
      <c r="B801">
        <v>34</v>
      </c>
      <c r="C80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01" t="s">
        <v>5</v>
      </c>
      <c r="E801" s="1">
        <v>45240</v>
      </c>
      <c r="F801" s="1" t="str">
        <f t="shared" si="24"/>
        <v>November</v>
      </c>
      <c r="G801" t="s">
        <v>6</v>
      </c>
      <c r="H801" t="s">
        <v>17</v>
      </c>
      <c r="I801" t="s">
        <v>18</v>
      </c>
      <c r="J801" t="str">
        <f t="shared" si="25"/>
        <v>Error: Should be None</v>
      </c>
      <c r="K801">
        <v>4</v>
      </c>
      <c r="L801" s="2">
        <v>389.48</v>
      </c>
      <c r="M801" t="s">
        <v>4</v>
      </c>
    </row>
    <row r="802" spans="1:13" x14ac:dyDescent="0.35">
      <c r="A802">
        <v>801</v>
      </c>
      <c r="B802">
        <v>37</v>
      </c>
      <c r="C802" t="str">
        <f>IF(Hospital[[#This Row],[Age]]&lt;=12,"Child",
IF(Hospital[[#This Row],[Age]]&lt;=19,"Teen",
IF(Hospital[[#This Row],[Age]]&lt;=35,"Young Adult",
IF(Hospital[[#This Row],[Age]]&lt;=59,"Adult",
"Senior"))))</f>
        <v>Adult</v>
      </c>
      <c r="D802" t="s">
        <v>0</v>
      </c>
      <c r="E802" s="1">
        <v>45078</v>
      </c>
      <c r="F802" s="1" t="str">
        <f t="shared" si="24"/>
        <v>June</v>
      </c>
      <c r="G802" t="s">
        <v>1</v>
      </c>
      <c r="H802" t="s">
        <v>14</v>
      </c>
      <c r="I802" t="s">
        <v>3</v>
      </c>
      <c r="J802" t="str">
        <f t="shared" si="25"/>
        <v>Error: Should be None</v>
      </c>
      <c r="K802">
        <v>2</v>
      </c>
      <c r="L802" s="2">
        <v>361.67</v>
      </c>
      <c r="M802" t="s">
        <v>16</v>
      </c>
    </row>
    <row r="803" spans="1:13" x14ac:dyDescent="0.35">
      <c r="A803">
        <v>802</v>
      </c>
      <c r="B803">
        <v>20</v>
      </c>
      <c r="C80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03" t="s">
        <v>5</v>
      </c>
      <c r="E803" s="1">
        <v>45113</v>
      </c>
      <c r="F803" s="1" t="str">
        <f t="shared" si="24"/>
        <v>July</v>
      </c>
      <c r="G803" t="s">
        <v>1</v>
      </c>
      <c r="H803" t="s">
        <v>17</v>
      </c>
      <c r="I803" t="s">
        <v>15</v>
      </c>
      <c r="J803" t="str">
        <f t="shared" si="25"/>
        <v>Error: Should be None</v>
      </c>
      <c r="K803">
        <v>0</v>
      </c>
      <c r="L803" s="2">
        <v>497.01</v>
      </c>
      <c r="M803" t="s">
        <v>8</v>
      </c>
    </row>
    <row r="804" spans="1:13" x14ac:dyDescent="0.35">
      <c r="A804">
        <v>803</v>
      </c>
      <c r="B804">
        <v>48</v>
      </c>
      <c r="C804" t="str">
        <f>IF(Hospital[[#This Row],[Age]]&lt;=12,"Child",
IF(Hospital[[#This Row],[Age]]&lt;=19,"Teen",
IF(Hospital[[#This Row],[Age]]&lt;=35,"Young Adult",
IF(Hospital[[#This Row],[Age]]&lt;=59,"Adult",
"Senior"))))</f>
        <v>Adult</v>
      </c>
      <c r="D804" t="s">
        <v>5</v>
      </c>
      <c r="E804" s="1">
        <v>45378</v>
      </c>
      <c r="F804" s="1" t="str">
        <f t="shared" si="24"/>
        <v>March</v>
      </c>
      <c r="G804" t="s">
        <v>1</v>
      </c>
      <c r="H804" t="s">
        <v>14</v>
      </c>
      <c r="I804" t="s">
        <v>3</v>
      </c>
      <c r="J804" t="str">
        <f t="shared" si="25"/>
        <v>Error: Should be None</v>
      </c>
      <c r="K804">
        <v>0</v>
      </c>
      <c r="L804" s="2">
        <v>339.47</v>
      </c>
      <c r="M804" t="s">
        <v>16</v>
      </c>
    </row>
    <row r="805" spans="1:13" x14ac:dyDescent="0.35">
      <c r="A805">
        <v>804</v>
      </c>
      <c r="B805">
        <v>58</v>
      </c>
      <c r="C805" t="str">
        <f>IF(Hospital[[#This Row],[Age]]&lt;=12,"Child",
IF(Hospital[[#This Row],[Age]]&lt;=19,"Teen",
IF(Hospital[[#This Row],[Age]]&lt;=35,"Young Adult",
IF(Hospital[[#This Row],[Age]]&lt;=59,"Adult",
"Senior"))))</f>
        <v>Adult</v>
      </c>
      <c r="D805" t="s">
        <v>5</v>
      </c>
      <c r="E805" s="1">
        <v>45078</v>
      </c>
      <c r="F805" s="1" t="str">
        <f t="shared" si="24"/>
        <v>June</v>
      </c>
      <c r="G805" t="s">
        <v>19</v>
      </c>
      <c r="H805" t="s">
        <v>14</v>
      </c>
      <c r="I805" t="s">
        <v>15</v>
      </c>
      <c r="J805" t="str">
        <f t="shared" si="25"/>
        <v>Error: Should be None</v>
      </c>
      <c r="K805">
        <v>0</v>
      </c>
      <c r="L805" s="2">
        <v>214.19</v>
      </c>
      <c r="M805" t="s">
        <v>10</v>
      </c>
    </row>
    <row r="806" spans="1:13" x14ac:dyDescent="0.35">
      <c r="A806">
        <v>805</v>
      </c>
      <c r="B806">
        <v>41</v>
      </c>
      <c r="C806" t="str">
        <f>IF(Hospital[[#This Row],[Age]]&lt;=12,"Child",
IF(Hospital[[#This Row],[Age]]&lt;=19,"Teen",
IF(Hospital[[#This Row],[Age]]&lt;=35,"Young Adult",
IF(Hospital[[#This Row],[Age]]&lt;=59,"Adult",
"Senior"))))</f>
        <v>Adult</v>
      </c>
      <c r="D806" t="s">
        <v>5</v>
      </c>
      <c r="E806" s="1">
        <v>45075</v>
      </c>
      <c r="F806" s="1" t="str">
        <f t="shared" si="24"/>
        <v>May</v>
      </c>
      <c r="G806" t="s">
        <v>11</v>
      </c>
      <c r="H806" t="s">
        <v>12</v>
      </c>
      <c r="I806" t="s">
        <v>3</v>
      </c>
      <c r="J806" t="str">
        <f t="shared" si="25"/>
        <v>Error: Should be None</v>
      </c>
      <c r="K806">
        <v>8</v>
      </c>
      <c r="L806" s="2">
        <v>179.01</v>
      </c>
      <c r="M806" t="s">
        <v>16</v>
      </c>
    </row>
    <row r="807" spans="1:13" x14ac:dyDescent="0.35">
      <c r="A807">
        <v>806</v>
      </c>
      <c r="B807">
        <v>74</v>
      </c>
      <c r="C807" t="str">
        <f>IF(Hospital[[#This Row],[Age]]&lt;=12,"Child",
IF(Hospital[[#This Row],[Age]]&lt;=19,"Teen",
IF(Hospital[[#This Row],[Age]]&lt;=35,"Young Adult",
IF(Hospital[[#This Row],[Age]]&lt;=59,"Adult",
"Senior"))))</f>
        <v>Senior</v>
      </c>
      <c r="D807" t="s">
        <v>5</v>
      </c>
      <c r="E807" s="1">
        <v>45412</v>
      </c>
      <c r="F807" s="1" t="str">
        <f t="shared" si="24"/>
        <v>April</v>
      </c>
      <c r="G807" t="s">
        <v>6</v>
      </c>
      <c r="H807" t="s">
        <v>14</v>
      </c>
      <c r="I807" t="s">
        <v>18</v>
      </c>
      <c r="J807" t="str">
        <f t="shared" si="25"/>
        <v>Error: Should be None</v>
      </c>
      <c r="K807">
        <v>1</v>
      </c>
      <c r="L807" s="2">
        <v>371.19</v>
      </c>
      <c r="M807" t="s">
        <v>4</v>
      </c>
    </row>
    <row r="808" spans="1:13" x14ac:dyDescent="0.35">
      <c r="A808">
        <v>807</v>
      </c>
      <c r="B808">
        <v>71</v>
      </c>
      <c r="C808" t="str">
        <f>IF(Hospital[[#This Row],[Age]]&lt;=12,"Child",
IF(Hospital[[#This Row],[Age]]&lt;=19,"Teen",
IF(Hospital[[#This Row],[Age]]&lt;=35,"Young Adult",
IF(Hospital[[#This Row],[Age]]&lt;=59,"Adult",
"Senior"))))</f>
        <v>Senior</v>
      </c>
      <c r="D808" t="s">
        <v>5</v>
      </c>
      <c r="E808" s="1">
        <v>45069</v>
      </c>
      <c r="F808" s="1" t="str">
        <f t="shared" si="24"/>
        <v>May</v>
      </c>
      <c r="G808" t="s">
        <v>19</v>
      </c>
      <c r="H808" t="s">
        <v>7</v>
      </c>
      <c r="I808" t="s">
        <v>3</v>
      </c>
      <c r="J808" t="str">
        <f t="shared" si="25"/>
        <v>Error: Should be None</v>
      </c>
      <c r="K808">
        <v>0</v>
      </c>
      <c r="L808" s="2">
        <v>212.78</v>
      </c>
      <c r="M808" t="s">
        <v>8</v>
      </c>
    </row>
    <row r="809" spans="1:13" x14ac:dyDescent="0.35">
      <c r="A809">
        <v>808</v>
      </c>
      <c r="B809">
        <v>12</v>
      </c>
      <c r="C809" t="str">
        <f>IF(Hospital[[#This Row],[Age]]&lt;=12,"Child",
IF(Hospital[[#This Row],[Age]]&lt;=19,"Teen",
IF(Hospital[[#This Row],[Age]]&lt;=35,"Young Adult",
IF(Hospital[[#This Row],[Age]]&lt;=59,"Adult",
"Senior"))))</f>
        <v>Child</v>
      </c>
      <c r="D809" t="s">
        <v>0</v>
      </c>
      <c r="E809" s="1">
        <v>45383</v>
      </c>
      <c r="F809" s="1" t="str">
        <f t="shared" si="24"/>
        <v>April</v>
      </c>
      <c r="G809" t="s">
        <v>11</v>
      </c>
      <c r="H809" t="s">
        <v>14</v>
      </c>
      <c r="I809" t="s">
        <v>3</v>
      </c>
      <c r="J809" t="str">
        <f t="shared" si="25"/>
        <v>Error: Should be None</v>
      </c>
      <c r="K809">
        <v>10</v>
      </c>
      <c r="L809" s="2">
        <v>113.67</v>
      </c>
      <c r="M809" t="s">
        <v>8</v>
      </c>
    </row>
    <row r="810" spans="1:13" x14ac:dyDescent="0.35">
      <c r="A810">
        <v>809</v>
      </c>
      <c r="B810">
        <v>3</v>
      </c>
      <c r="C810" t="str">
        <f>IF(Hospital[[#This Row],[Age]]&lt;=12,"Child",
IF(Hospital[[#This Row],[Age]]&lt;=19,"Teen",
IF(Hospital[[#This Row],[Age]]&lt;=35,"Young Adult",
IF(Hospital[[#This Row],[Age]]&lt;=59,"Adult",
"Senior"))))</f>
        <v>Child</v>
      </c>
      <c r="D810" t="s">
        <v>5</v>
      </c>
      <c r="E810" s="1">
        <v>45211</v>
      </c>
      <c r="F810" s="1" t="str">
        <f t="shared" si="24"/>
        <v>October</v>
      </c>
      <c r="G810" t="s">
        <v>6</v>
      </c>
      <c r="H810" t="s">
        <v>17</v>
      </c>
      <c r="I810" t="s">
        <v>15</v>
      </c>
      <c r="J810" t="str">
        <f t="shared" si="25"/>
        <v>Error: Should be None</v>
      </c>
      <c r="K810">
        <v>8</v>
      </c>
      <c r="L810" s="2">
        <v>209.32</v>
      </c>
      <c r="M810" t="s">
        <v>10</v>
      </c>
    </row>
    <row r="811" spans="1:13" x14ac:dyDescent="0.35">
      <c r="A811">
        <v>810</v>
      </c>
      <c r="B811">
        <v>78</v>
      </c>
      <c r="C811" t="str">
        <f>IF(Hospital[[#This Row],[Age]]&lt;=12,"Child",
IF(Hospital[[#This Row],[Age]]&lt;=19,"Teen",
IF(Hospital[[#This Row],[Age]]&lt;=35,"Young Adult",
IF(Hospital[[#This Row],[Age]]&lt;=59,"Adult",
"Senior"))))</f>
        <v>Senior</v>
      </c>
      <c r="D811" t="s">
        <v>5</v>
      </c>
      <c r="E811" s="1">
        <v>45252</v>
      </c>
      <c r="F811" s="1" t="str">
        <f t="shared" si="24"/>
        <v>November</v>
      </c>
      <c r="G811" t="s">
        <v>19</v>
      </c>
      <c r="H811" t="s">
        <v>9</v>
      </c>
      <c r="I811" t="s">
        <v>3</v>
      </c>
      <c r="J811" t="str">
        <f t="shared" si="25"/>
        <v>Error: Should be None</v>
      </c>
      <c r="K811">
        <v>6</v>
      </c>
      <c r="L811" s="2">
        <v>91.01</v>
      </c>
      <c r="M811" t="s">
        <v>10</v>
      </c>
    </row>
    <row r="812" spans="1:13" x14ac:dyDescent="0.35">
      <c r="A812">
        <v>811</v>
      </c>
      <c r="B812">
        <v>48</v>
      </c>
      <c r="C812" t="str">
        <f>IF(Hospital[[#This Row],[Age]]&lt;=12,"Child",
IF(Hospital[[#This Row],[Age]]&lt;=19,"Teen",
IF(Hospital[[#This Row],[Age]]&lt;=35,"Young Adult",
IF(Hospital[[#This Row],[Age]]&lt;=59,"Adult",
"Senior"))))</f>
        <v>Adult</v>
      </c>
      <c r="D812" t="s">
        <v>5</v>
      </c>
      <c r="E812" s="1">
        <v>45305</v>
      </c>
      <c r="F812" s="1" t="str">
        <f t="shared" si="24"/>
        <v>January</v>
      </c>
      <c r="G812" t="s">
        <v>19</v>
      </c>
      <c r="H812" t="s">
        <v>12</v>
      </c>
      <c r="I812" t="s">
        <v>18</v>
      </c>
      <c r="J812" t="str">
        <f t="shared" si="25"/>
        <v>Error: Should be None</v>
      </c>
      <c r="K812">
        <v>5</v>
      </c>
      <c r="L812" s="2">
        <v>167.88</v>
      </c>
      <c r="M812" t="s">
        <v>10</v>
      </c>
    </row>
    <row r="813" spans="1:13" x14ac:dyDescent="0.35">
      <c r="A813">
        <v>812</v>
      </c>
      <c r="B813">
        <v>28</v>
      </c>
      <c r="C81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13" t="s">
        <v>0</v>
      </c>
      <c r="E813" s="1">
        <v>45501</v>
      </c>
      <c r="F813" s="1" t="str">
        <f t="shared" si="24"/>
        <v>July</v>
      </c>
      <c r="G813" t="s">
        <v>6</v>
      </c>
      <c r="H813" t="s">
        <v>2</v>
      </c>
      <c r="I813" t="s">
        <v>3</v>
      </c>
      <c r="J813" t="str">
        <f t="shared" si="25"/>
        <v>Error: Should be None</v>
      </c>
      <c r="K813">
        <v>7</v>
      </c>
      <c r="L813" s="2">
        <v>158.54</v>
      </c>
      <c r="M813" t="s">
        <v>10</v>
      </c>
    </row>
    <row r="814" spans="1:13" x14ac:dyDescent="0.35">
      <c r="A814">
        <v>813</v>
      </c>
      <c r="B814">
        <v>76</v>
      </c>
      <c r="C814" t="str">
        <f>IF(Hospital[[#This Row],[Age]]&lt;=12,"Child",
IF(Hospital[[#This Row],[Age]]&lt;=19,"Teen",
IF(Hospital[[#This Row],[Age]]&lt;=35,"Young Adult",
IF(Hospital[[#This Row],[Age]]&lt;=59,"Adult",
"Senior"))))</f>
        <v>Senior</v>
      </c>
      <c r="D814" t="s">
        <v>5</v>
      </c>
      <c r="E814" s="1">
        <v>45351</v>
      </c>
      <c r="F814" s="1" t="str">
        <f t="shared" si="24"/>
        <v>February</v>
      </c>
      <c r="G814" t="s">
        <v>1</v>
      </c>
      <c r="H814" t="s">
        <v>17</v>
      </c>
      <c r="I814" t="s">
        <v>13</v>
      </c>
      <c r="J814" t="str">
        <f t="shared" si="25"/>
        <v>Error: Should be None</v>
      </c>
      <c r="K814">
        <v>4</v>
      </c>
      <c r="L814" s="2">
        <v>247.81</v>
      </c>
      <c r="M814" t="s">
        <v>16</v>
      </c>
    </row>
    <row r="815" spans="1:13" x14ac:dyDescent="0.35">
      <c r="A815">
        <v>814</v>
      </c>
      <c r="B815">
        <v>49</v>
      </c>
      <c r="C815" t="str">
        <f>IF(Hospital[[#This Row],[Age]]&lt;=12,"Child",
IF(Hospital[[#This Row],[Age]]&lt;=19,"Teen",
IF(Hospital[[#This Row],[Age]]&lt;=35,"Young Adult",
IF(Hospital[[#This Row],[Age]]&lt;=59,"Adult",
"Senior"))))</f>
        <v>Adult</v>
      </c>
      <c r="D815" t="s">
        <v>5</v>
      </c>
      <c r="E815" s="1">
        <v>44994</v>
      </c>
      <c r="F815" s="1" t="str">
        <f t="shared" si="24"/>
        <v>March</v>
      </c>
      <c r="G815" t="s">
        <v>11</v>
      </c>
      <c r="H815" t="s">
        <v>9</v>
      </c>
      <c r="I815" t="s">
        <v>3</v>
      </c>
      <c r="J815" t="str">
        <f t="shared" si="25"/>
        <v>Error: Should be None</v>
      </c>
      <c r="K815">
        <v>6</v>
      </c>
      <c r="L815" s="2">
        <v>326.63</v>
      </c>
      <c r="M815" t="s">
        <v>16</v>
      </c>
    </row>
    <row r="816" spans="1:13" x14ac:dyDescent="0.35">
      <c r="A816">
        <v>815</v>
      </c>
      <c r="B816">
        <v>72</v>
      </c>
      <c r="C816" t="str">
        <f>IF(Hospital[[#This Row],[Age]]&lt;=12,"Child",
IF(Hospital[[#This Row],[Age]]&lt;=19,"Teen",
IF(Hospital[[#This Row],[Age]]&lt;=35,"Young Adult",
IF(Hospital[[#This Row],[Age]]&lt;=59,"Adult",
"Senior"))))</f>
        <v>Senior</v>
      </c>
      <c r="D816" t="s">
        <v>0</v>
      </c>
      <c r="E816" s="1">
        <v>45351</v>
      </c>
      <c r="F816" s="1" t="str">
        <f t="shared" si="24"/>
        <v>February</v>
      </c>
      <c r="G816" t="s">
        <v>1</v>
      </c>
      <c r="H816" t="s">
        <v>17</v>
      </c>
      <c r="I816" t="s">
        <v>13</v>
      </c>
      <c r="J816" t="str">
        <f t="shared" si="25"/>
        <v>Error: Should be None</v>
      </c>
      <c r="K816">
        <v>2</v>
      </c>
      <c r="L816" s="2">
        <v>419.5</v>
      </c>
      <c r="M816" t="s">
        <v>16</v>
      </c>
    </row>
    <row r="817" spans="1:13" x14ac:dyDescent="0.35">
      <c r="A817">
        <v>816</v>
      </c>
      <c r="B817">
        <v>6</v>
      </c>
      <c r="C817" t="str">
        <f>IF(Hospital[[#This Row],[Age]]&lt;=12,"Child",
IF(Hospital[[#This Row],[Age]]&lt;=19,"Teen",
IF(Hospital[[#This Row],[Age]]&lt;=35,"Young Adult",
IF(Hospital[[#This Row],[Age]]&lt;=59,"Adult",
"Senior"))))</f>
        <v>Child</v>
      </c>
      <c r="D817" t="s">
        <v>0</v>
      </c>
      <c r="E817" s="1">
        <v>45494</v>
      </c>
      <c r="F817" s="1" t="str">
        <f t="shared" si="24"/>
        <v>July</v>
      </c>
      <c r="G817" t="s">
        <v>19</v>
      </c>
      <c r="H817" t="s">
        <v>12</v>
      </c>
      <c r="I817" t="s">
        <v>20</v>
      </c>
      <c r="J817" t="str">
        <f t="shared" si="25"/>
        <v>Error: Should be None</v>
      </c>
      <c r="K817">
        <v>8</v>
      </c>
      <c r="L817" s="2">
        <v>375.13</v>
      </c>
      <c r="M817" t="s">
        <v>8</v>
      </c>
    </row>
    <row r="818" spans="1:13" x14ac:dyDescent="0.35">
      <c r="A818">
        <v>817</v>
      </c>
      <c r="B818">
        <v>20</v>
      </c>
      <c r="C81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18" t="s">
        <v>0</v>
      </c>
      <c r="E818" s="1">
        <v>44954</v>
      </c>
      <c r="F818" s="1" t="str">
        <f t="shared" si="24"/>
        <v>January</v>
      </c>
      <c r="G818" t="s">
        <v>19</v>
      </c>
      <c r="H818" t="s">
        <v>2</v>
      </c>
      <c r="I818" t="s">
        <v>3</v>
      </c>
      <c r="J818" t="str">
        <f t="shared" si="25"/>
        <v>Error: Should be None</v>
      </c>
      <c r="K818">
        <v>10</v>
      </c>
      <c r="L818" s="2">
        <v>420.44</v>
      </c>
      <c r="M818" t="s">
        <v>10</v>
      </c>
    </row>
    <row r="819" spans="1:13" x14ac:dyDescent="0.35">
      <c r="A819">
        <v>818</v>
      </c>
      <c r="B819">
        <v>37</v>
      </c>
      <c r="C819" t="str">
        <f>IF(Hospital[[#This Row],[Age]]&lt;=12,"Child",
IF(Hospital[[#This Row],[Age]]&lt;=19,"Teen",
IF(Hospital[[#This Row],[Age]]&lt;=35,"Young Adult",
IF(Hospital[[#This Row],[Age]]&lt;=59,"Adult",
"Senior"))))</f>
        <v>Adult</v>
      </c>
      <c r="D819" t="s">
        <v>0</v>
      </c>
      <c r="E819" s="1">
        <v>45054</v>
      </c>
      <c r="F819" s="1" t="str">
        <f t="shared" si="24"/>
        <v>May</v>
      </c>
      <c r="G819" t="s">
        <v>1</v>
      </c>
      <c r="H819" t="s">
        <v>7</v>
      </c>
      <c r="I819" t="s">
        <v>3</v>
      </c>
      <c r="J819" t="str">
        <f t="shared" si="25"/>
        <v>Error: Should be None</v>
      </c>
      <c r="K819">
        <v>7</v>
      </c>
      <c r="L819" s="2">
        <v>455.26</v>
      </c>
      <c r="M819" t="s">
        <v>8</v>
      </c>
    </row>
    <row r="820" spans="1:13" x14ac:dyDescent="0.35">
      <c r="A820">
        <v>819</v>
      </c>
      <c r="B820">
        <v>36</v>
      </c>
      <c r="C820" t="str">
        <f>IF(Hospital[[#This Row],[Age]]&lt;=12,"Child",
IF(Hospital[[#This Row],[Age]]&lt;=19,"Teen",
IF(Hospital[[#This Row],[Age]]&lt;=35,"Young Adult",
IF(Hospital[[#This Row],[Age]]&lt;=59,"Adult",
"Senior"))))</f>
        <v>Adult</v>
      </c>
      <c r="D820" t="s">
        <v>0</v>
      </c>
      <c r="E820" s="1">
        <v>44956</v>
      </c>
      <c r="F820" s="1" t="str">
        <f t="shared" si="24"/>
        <v>January</v>
      </c>
      <c r="G820" t="s">
        <v>11</v>
      </c>
      <c r="H820" t="s">
        <v>2</v>
      </c>
      <c r="I820" t="s">
        <v>3</v>
      </c>
      <c r="J820" t="str">
        <f t="shared" si="25"/>
        <v>Error: Should be None</v>
      </c>
      <c r="K820">
        <v>9</v>
      </c>
      <c r="L820" s="2">
        <v>377.87</v>
      </c>
      <c r="M820" t="s">
        <v>10</v>
      </c>
    </row>
    <row r="821" spans="1:13" x14ac:dyDescent="0.35">
      <c r="A821">
        <v>820</v>
      </c>
      <c r="B821">
        <v>34</v>
      </c>
      <c r="C82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21" t="s">
        <v>0</v>
      </c>
      <c r="E821" s="1">
        <v>45506</v>
      </c>
      <c r="F821" s="1" t="str">
        <f t="shared" si="24"/>
        <v>August</v>
      </c>
      <c r="G821" t="s">
        <v>11</v>
      </c>
      <c r="H821" t="s">
        <v>12</v>
      </c>
      <c r="I821" t="s">
        <v>18</v>
      </c>
      <c r="J821" t="str">
        <f t="shared" si="25"/>
        <v>Error: Should be None</v>
      </c>
      <c r="K821">
        <v>8</v>
      </c>
      <c r="L821" s="2">
        <v>371.82</v>
      </c>
      <c r="M821" t="s">
        <v>4</v>
      </c>
    </row>
    <row r="822" spans="1:13" x14ac:dyDescent="0.35">
      <c r="A822">
        <v>821</v>
      </c>
      <c r="B822">
        <v>75</v>
      </c>
      <c r="C822" t="str">
        <f>IF(Hospital[[#This Row],[Age]]&lt;=12,"Child",
IF(Hospital[[#This Row],[Age]]&lt;=19,"Teen",
IF(Hospital[[#This Row],[Age]]&lt;=35,"Young Adult",
IF(Hospital[[#This Row],[Age]]&lt;=59,"Adult",
"Senior"))))</f>
        <v>Senior</v>
      </c>
      <c r="D822" t="s">
        <v>5</v>
      </c>
      <c r="E822" s="1">
        <v>45192</v>
      </c>
      <c r="F822" s="1" t="str">
        <f t="shared" si="24"/>
        <v>September</v>
      </c>
      <c r="G822" t="s">
        <v>1</v>
      </c>
      <c r="H822" t="s">
        <v>17</v>
      </c>
      <c r="I822" t="s">
        <v>18</v>
      </c>
      <c r="J822" t="str">
        <f t="shared" si="25"/>
        <v>Error: Should be None</v>
      </c>
      <c r="K822">
        <v>7</v>
      </c>
      <c r="L822" s="2">
        <v>441.59</v>
      </c>
      <c r="M822" t="s">
        <v>8</v>
      </c>
    </row>
    <row r="823" spans="1:13" x14ac:dyDescent="0.35">
      <c r="A823">
        <v>822</v>
      </c>
      <c r="B823">
        <v>7</v>
      </c>
      <c r="C823" t="str">
        <f>IF(Hospital[[#This Row],[Age]]&lt;=12,"Child",
IF(Hospital[[#This Row],[Age]]&lt;=19,"Teen",
IF(Hospital[[#This Row],[Age]]&lt;=35,"Young Adult",
IF(Hospital[[#This Row],[Age]]&lt;=59,"Adult",
"Senior"))))</f>
        <v>Child</v>
      </c>
      <c r="D823" t="s">
        <v>0</v>
      </c>
      <c r="E823" s="1">
        <v>45292</v>
      </c>
      <c r="F823" s="1" t="str">
        <f t="shared" si="24"/>
        <v>January</v>
      </c>
      <c r="G823" t="s">
        <v>19</v>
      </c>
      <c r="H823" t="s">
        <v>17</v>
      </c>
      <c r="I823" t="s">
        <v>20</v>
      </c>
      <c r="J823" t="str">
        <f t="shared" si="25"/>
        <v>Error: Should be None</v>
      </c>
      <c r="K823">
        <v>10</v>
      </c>
      <c r="L823" s="2">
        <v>457.81</v>
      </c>
      <c r="M823" t="s">
        <v>16</v>
      </c>
    </row>
    <row r="824" spans="1:13" x14ac:dyDescent="0.35">
      <c r="A824">
        <v>823</v>
      </c>
      <c r="B824">
        <v>38</v>
      </c>
      <c r="C824" t="str">
        <f>IF(Hospital[[#This Row],[Age]]&lt;=12,"Child",
IF(Hospital[[#This Row],[Age]]&lt;=19,"Teen",
IF(Hospital[[#This Row],[Age]]&lt;=35,"Young Adult",
IF(Hospital[[#This Row],[Age]]&lt;=59,"Adult",
"Senior"))))</f>
        <v>Adult</v>
      </c>
      <c r="D824" t="s">
        <v>5</v>
      </c>
      <c r="E824" s="1">
        <v>44976</v>
      </c>
      <c r="F824" s="1" t="str">
        <f t="shared" si="24"/>
        <v>February</v>
      </c>
      <c r="G824" t="s">
        <v>1</v>
      </c>
      <c r="H824" t="s">
        <v>14</v>
      </c>
      <c r="I824" t="s">
        <v>13</v>
      </c>
      <c r="J824" t="str">
        <f t="shared" si="25"/>
        <v>Error: Should be None</v>
      </c>
      <c r="K824">
        <v>1</v>
      </c>
      <c r="L824" s="2">
        <v>307.41000000000003</v>
      </c>
      <c r="M824" t="s">
        <v>8</v>
      </c>
    </row>
    <row r="825" spans="1:13" x14ac:dyDescent="0.35">
      <c r="A825">
        <v>824</v>
      </c>
      <c r="B825">
        <v>41</v>
      </c>
      <c r="C825" t="str">
        <f>IF(Hospital[[#This Row],[Age]]&lt;=12,"Child",
IF(Hospital[[#This Row],[Age]]&lt;=19,"Teen",
IF(Hospital[[#This Row],[Age]]&lt;=35,"Young Adult",
IF(Hospital[[#This Row],[Age]]&lt;=59,"Adult",
"Senior"))))</f>
        <v>Adult</v>
      </c>
      <c r="D825" t="s">
        <v>0</v>
      </c>
      <c r="E825" s="1">
        <v>45483</v>
      </c>
      <c r="F825" s="1" t="str">
        <f t="shared" si="24"/>
        <v>July</v>
      </c>
      <c r="G825" t="s">
        <v>19</v>
      </c>
      <c r="H825" t="s">
        <v>14</v>
      </c>
      <c r="I825" t="s">
        <v>18</v>
      </c>
      <c r="J825" t="str">
        <f t="shared" si="25"/>
        <v>Error: Should be None</v>
      </c>
      <c r="K825">
        <v>1</v>
      </c>
      <c r="L825" s="2">
        <v>276.52</v>
      </c>
      <c r="M825" t="s">
        <v>16</v>
      </c>
    </row>
    <row r="826" spans="1:13" x14ac:dyDescent="0.35">
      <c r="A826">
        <v>825</v>
      </c>
      <c r="B826">
        <v>18</v>
      </c>
      <c r="C826" t="str">
        <f>IF(Hospital[[#This Row],[Age]]&lt;=12,"Child",
IF(Hospital[[#This Row],[Age]]&lt;=19,"Teen",
IF(Hospital[[#This Row],[Age]]&lt;=35,"Young Adult",
IF(Hospital[[#This Row],[Age]]&lt;=59,"Adult",
"Senior"))))</f>
        <v>Teen</v>
      </c>
      <c r="D826" t="s">
        <v>0</v>
      </c>
      <c r="E826" s="1">
        <v>45074</v>
      </c>
      <c r="F826" s="1" t="str">
        <f t="shared" si="24"/>
        <v>May</v>
      </c>
      <c r="G826" t="s">
        <v>19</v>
      </c>
      <c r="H826" t="s">
        <v>2</v>
      </c>
      <c r="I826" t="s">
        <v>3</v>
      </c>
      <c r="J826" t="str">
        <f t="shared" si="25"/>
        <v>Error: Should be None</v>
      </c>
      <c r="K826">
        <v>7</v>
      </c>
      <c r="L826" s="2">
        <v>217.76</v>
      </c>
      <c r="M826" t="s">
        <v>8</v>
      </c>
    </row>
    <row r="827" spans="1:13" x14ac:dyDescent="0.35">
      <c r="A827">
        <v>826</v>
      </c>
      <c r="B827">
        <v>20</v>
      </c>
      <c r="C827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27" t="s">
        <v>5</v>
      </c>
      <c r="E827" s="1">
        <v>45031</v>
      </c>
      <c r="F827" s="1" t="str">
        <f t="shared" si="24"/>
        <v>April</v>
      </c>
      <c r="G827" t="s">
        <v>1</v>
      </c>
      <c r="H827" t="s">
        <v>17</v>
      </c>
      <c r="I827" t="s">
        <v>3</v>
      </c>
      <c r="J827" t="str">
        <f t="shared" si="25"/>
        <v>Error: Should be None</v>
      </c>
      <c r="K827">
        <v>9</v>
      </c>
      <c r="L827" s="2">
        <v>351.03</v>
      </c>
      <c r="M827" t="s">
        <v>4</v>
      </c>
    </row>
    <row r="828" spans="1:13" x14ac:dyDescent="0.35">
      <c r="A828">
        <v>827</v>
      </c>
      <c r="B828">
        <v>10</v>
      </c>
      <c r="C828" t="str">
        <f>IF(Hospital[[#This Row],[Age]]&lt;=12,"Child",
IF(Hospital[[#This Row],[Age]]&lt;=19,"Teen",
IF(Hospital[[#This Row],[Age]]&lt;=35,"Young Adult",
IF(Hospital[[#This Row],[Age]]&lt;=59,"Adult",
"Senior"))))</f>
        <v>Child</v>
      </c>
      <c r="D828" t="s">
        <v>5</v>
      </c>
      <c r="E828" s="1">
        <v>45354</v>
      </c>
      <c r="F828" s="1" t="str">
        <f t="shared" si="24"/>
        <v>March</v>
      </c>
      <c r="G828" t="s">
        <v>1</v>
      </c>
      <c r="H828" t="s">
        <v>12</v>
      </c>
      <c r="I828" t="s">
        <v>15</v>
      </c>
      <c r="J828" t="str">
        <f t="shared" si="25"/>
        <v>Error: Should be None</v>
      </c>
      <c r="K828">
        <v>7</v>
      </c>
      <c r="L828" s="2">
        <v>187.14</v>
      </c>
      <c r="M828" t="s">
        <v>16</v>
      </c>
    </row>
    <row r="829" spans="1:13" x14ac:dyDescent="0.35">
      <c r="A829">
        <v>828</v>
      </c>
      <c r="B829">
        <v>77</v>
      </c>
      <c r="C829" t="str">
        <f>IF(Hospital[[#This Row],[Age]]&lt;=12,"Child",
IF(Hospital[[#This Row],[Age]]&lt;=19,"Teen",
IF(Hospital[[#This Row],[Age]]&lt;=35,"Young Adult",
IF(Hospital[[#This Row],[Age]]&lt;=59,"Adult",
"Senior"))))</f>
        <v>Senior</v>
      </c>
      <c r="D829" t="s">
        <v>0</v>
      </c>
      <c r="E829" s="1">
        <v>45069</v>
      </c>
      <c r="F829" s="1" t="str">
        <f t="shared" si="24"/>
        <v>May</v>
      </c>
      <c r="G829" t="s">
        <v>1</v>
      </c>
      <c r="H829" t="s">
        <v>12</v>
      </c>
      <c r="I829" t="s">
        <v>18</v>
      </c>
      <c r="J829" t="str">
        <f t="shared" si="25"/>
        <v>Error: Should be None</v>
      </c>
      <c r="K829">
        <v>0</v>
      </c>
      <c r="L829" s="2">
        <v>377.34</v>
      </c>
      <c r="M829" t="s">
        <v>4</v>
      </c>
    </row>
    <row r="830" spans="1:13" x14ac:dyDescent="0.35">
      <c r="A830">
        <v>829</v>
      </c>
      <c r="B830">
        <v>19</v>
      </c>
      <c r="C830" t="str">
        <f>IF(Hospital[[#This Row],[Age]]&lt;=12,"Child",
IF(Hospital[[#This Row],[Age]]&lt;=19,"Teen",
IF(Hospital[[#This Row],[Age]]&lt;=35,"Young Adult",
IF(Hospital[[#This Row],[Age]]&lt;=59,"Adult",
"Senior"))))</f>
        <v>Teen</v>
      </c>
      <c r="D830" t="s">
        <v>5</v>
      </c>
      <c r="E830" s="1">
        <v>45154</v>
      </c>
      <c r="F830" s="1" t="str">
        <f t="shared" si="24"/>
        <v>August</v>
      </c>
      <c r="G830" t="s">
        <v>19</v>
      </c>
      <c r="H830" t="s">
        <v>17</v>
      </c>
      <c r="I830" t="s">
        <v>13</v>
      </c>
      <c r="J830" t="str">
        <f t="shared" si="25"/>
        <v>Error: Should be None</v>
      </c>
      <c r="K830">
        <v>3</v>
      </c>
      <c r="L830" s="2">
        <v>82.5</v>
      </c>
      <c r="M830" t="s">
        <v>4</v>
      </c>
    </row>
    <row r="831" spans="1:13" x14ac:dyDescent="0.35">
      <c r="A831">
        <v>830</v>
      </c>
      <c r="B831">
        <v>15</v>
      </c>
      <c r="C831" t="str">
        <f>IF(Hospital[[#This Row],[Age]]&lt;=12,"Child",
IF(Hospital[[#This Row],[Age]]&lt;=19,"Teen",
IF(Hospital[[#This Row],[Age]]&lt;=35,"Young Adult",
IF(Hospital[[#This Row],[Age]]&lt;=59,"Adult",
"Senior"))))</f>
        <v>Teen</v>
      </c>
      <c r="D831" t="s">
        <v>5</v>
      </c>
      <c r="E831" s="1">
        <v>45362</v>
      </c>
      <c r="F831" s="1" t="str">
        <f t="shared" si="24"/>
        <v>March</v>
      </c>
      <c r="G831" t="s">
        <v>11</v>
      </c>
      <c r="H831" t="s">
        <v>7</v>
      </c>
      <c r="I831" t="s">
        <v>3</v>
      </c>
      <c r="J831" t="str">
        <f t="shared" si="25"/>
        <v>Error: Should be None</v>
      </c>
      <c r="K831">
        <v>7</v>
      </c>
      <c r="L831" s="2">
        <v>383.52</v>
      </c>
      <c r="M831" t="s">
        <v>4</v>
      </c>
    </row>
    <row r="832" spans="1:13" x14ac:dyDescent="0.35">
      <c r="A832">
        <v>831</v>
      </c>
      <c r="B832">
        <v>5</v>
      </c>
      <c r="C832" t="str">
        <f>IF(Hospital[[#This Row],[Age]]&lt;=12,"Child",
IF(Hospital[[#This Row],[Age]]&lt;=19,"Teen",
IF(Hospital[[#This Row],[Age]]&lt;=35,"Young Adult",
IF(Hospital[[#This Row],[Age]]&lt;=59,"Adult",
"Senior"))))</f>
        <v>Child</v>
      </c>
      <c r="D832" t="s">
        <v>5</v>
      </c>
      <c r="E832" s="1">
        <v>45128</v>
      </c>
      <c r="F832" s="1" t="str">
        <f t="shared" si="24"/>
        <v>July</v>
      </c>
      <c r="G832" t="s">
        <v>6</v>
      </c>
      <c r="H832" t="s">
        <v>2</v>
      </c>
      <c r="I832" t="s">
        <v>3</v>
      </c>
      <c r="J832" t="str">
        <f t="shared" si="25"/>
        <v>Error: Should be None</v>
      </c>
      <c r="K832">
        <v>1</v>
      </c>
      <c r="L832" s="2">
        <v>456.09</v>
      </c>
      <c r="M832" t="s">
        <v>4</v>
      </c>
    </row>
    <row r="833" spans="1:13" x14ac:dyDescent="0.35">
      <c r="A833">
        <v>832</v>
      </c>
      <c r="B833">
        <v>2</v>
      </c>
      <c r="C833" t="str">
        <f>IF(Hospital[[#This Row],[Age]]&lt;=12,"Child",
IF(Hospital[[#This Row],[Age]]&lt;=19,"Teen",
IF(Hospital[[#This Row],[Age]]&lt;=35,"Young Adult",
IF(Hospital[[#This Row],[Age]]&lt;=59,"Adult",
"Senior"))))</f>
        <v>Child</v>
      </c>
      <c r="D833" t="s">
        <v>5</v>
      </c>
      <c r="E833" s="1">
        <v>44994</v>
      </c>
      <c r="F833" s="1" t="str">
        <f t="shared" si="24"/>
        <v>March</v>
      </c>
      <c r="G833" t="s">
        <v>11</v>
      </c>
      <c r="H833" t="s">
        <v>14</v>
      </c>
      <c r="I833" t="s">
        <v>3</v>
      </c>
      <c r="J833" t="str">
        <f t="shared" si="25"/>
        <v>Error: Should be None</v>
      </c>
      <c r="K833">
        <v>3</v>
      </c>
      <c r="L833" s="2">
        <v>302.05</v>
      </c>
      <c r="M833" t="s">
        <v>8</v>
      </c>
    </row>
    <row r="834" spans="1:13" x14ac:dyDescent="0.35">
      <c r="A834">
        <v>833</v>
      </c>
      <c r="B834">
        <v>45</v>
      </c>
      <c r="C834" t="str">
        <f>IF(Hospital[[#This Row],[Age]]&lt;=12,"Child",
IF(Hospital[[#This Row],[Age]]&lt;=19,"Teen",
IF(Hospital[[#This Row],[Age]]&lt;=35,"Young Adult",
IF(Hospital[[#This Row],[Age]]&lt;=59,"Adult",
"Senior"))))</f>
        <v>Adult</v>
      </c>
      <c r="D834" t="s">
        <v>5</v>
      </c>
      <c r="E834" s="1">
        <v>45116</v>
      </c>
      <c r="F834" s="1" t="str">
        <f t="shared" si="24"/>
        <v>July</v>
      </c>
      <c r="G834" t="s">
        <v>11</v>
      </c>
      <c r="H834" t="s">
        <v>7</v>
      </c>
      <c r="I834" t="s">
        <v>3</v>
      </c>
      <c r="J834" t="str">
        <f t="shared" si="25"/>
        <v>Error: Should be None</v>
      </c>
      <c r="K834">
        <v>2</v>
      </c>
      <c r="L834" s="2">
        <v>426.01</v>
      </c>
      <c r="M834" t="s">
        <v>16</v>
      </c>
    </row>
    <row r="835" spans="1:13" x14ac:dyDescent="0.35">
      <c r="A835">
        <v>834</v>
      </c>
      <c r="B835">
        <v>46</v>
      </c>
      <c r="C835" t="str">
        <f>IF(Hospital[[#This Row],[Age]]&lt;=12,"Child",
IF(Hospital[[#This Row],[Age]]&lt;=19,"Teen",
IF(Hospital[[#This Row],[Age]]&lt;=35,"Young Adult",
IF(Hospital[[#This Row],[Age]]&lt;=59,"Adult",
"Senior"))))</f>
        <v>Adult</v>
      </c>
      <c r="D835" t="s">
        <v>5</v>
      </c>
      <c r="E835" s="1">
        <v>45520</v>
      </c>
      <c r="F835" s="1" t="str">
        <f t="shared" ref="F835:F898" si="26">TEXT(E835, "mmmm")</f>
        <v>August</v>
      </c>
      <c r="G835" t="s">
        <v>1</v>
      </c>
      <c r="H835" t="s">
        <v>14</v>
      </c>
      <c r="I835" t="s">
        <v>3</v>
      </c>
      <c r="J835" t="str">
        <f t="shared" ref="J835:J898" si="27">IF(OR(G835="UTI", G835="Pneumonia", G835="Typhoid"),
   IF(H835="None","Error: Should have antibiotics","OK"),
   IF(H835&lt;&gt;"None","Error: Should be None","OK"))</f>
        <v>Error: Should be None</v>
      </c>
      <c r="K835">
        <v>9</v>
      </c>
      <c r="L835" s="2">
        <v>52.8</v>
      </c>
      <c r="M835" t="s">
        <v>4</v>
      </c>
    </row>
    <row r="836" spans="1:13" x14ac:dyDescent="0.35">
      <c r="A836">
        <v>835</v>
      </c>
      <c r="B836">
        <v>25</v>
      </c>
      <c r="C83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36" t="s">
        <v>0</v>
      </c>
      <c r="E836" s="1">
        <v>45468</v>
      </c>
      <c r="F836" s="1" t="str">
        <f t="shared" si="26"/>
        <v>June</v>
      </c>
      <c r="G836" t="s">
        <v>1</v>
      </c>
      <c r="H836" t="s">
        <v>17</v>
      </c>
      <c r="I836" t="s">
        <v>3</v>
      </c>
      <c r="J836" t="str">
        <f t="shared" si="27"/>
        <v>Error: Should be None</v>
      </c>
      <c r="K836">
        <v>0</v>
      </c>
      <c r="L836" s="2">
        <v>487.32</v>
      </c>
      <c r="M836" t="s">
        <v>4</v>
      </c>
    </row>
    <row r="837" spans="1:13" x14ac:dyDescent="0.35">
      <c r="A837">
        <v>836</v>
      </c>
      <c r="B837">
        <v>61</v>
      </c>
      <c r="C837" t="str">
        <f>IF(Hospital[[#This Row],[Age]]&lt;=12,"Child",
IF(Hospital[[#This Row],[Age]]&lt;=19,"Teen",
IF(Hospital[[#This Row],[Age]]&lt;=35,"Young Adult",
IF(Hospital[[#This Row],[Age]]&lt;=59,"Adult",
"Senior"))))</f>
        <v>Senior</v>
      </c>
      <c r="D837" t="s">
        <v>0</v>
      </c>
      <c r="E837" s="1">
        <v>45146</v>
      </c>
      <c r="F837" s="1" t="str">
        <f t="shared" si="26"/>
        <v>August</v>
      </c>
      <c r="G837" t="s">
        <v>1</v>
      </c>
      <c r="H837" t="s">
        <v>9</v>
      </c>
      <c r="I837" t="s">
        <v>3</v>
      </c>
      <c r="J837" t="str">
        <f t="shared" si="27"/>
        <v>Error: Should be None</v>
      </c>
      <c r="K837">
        <v>7</v>
      </c>
      <c r="L837" s="2">
        <v>343.29</v>
      </c>
      <c r="M837" t="s">
        <v>4</v>
      </c>
    </row>
    <row r="838" spans="1:13" x14ac:dyDescent="0.35">
      <c r="A838">
        <v>837</v>
      </c>
      <c r="B838">
        <v>49</v>
      </c>
      <c r="C838" t="str">
        <f>IF(Hospital[[#This Row],[Age]]&lt;=12,"Child",
IF(Hospital[[#This Row],[Age]]&lt;=19,"Teen",
IF(Hospital[[#This Row],[Age]]&lt;=35,"Young Adult",
IF(Hospital[[#This Row],[Age]]&lt;=59,"Adult",
"Senior"))))</f>
        <v>Adult</v>
      </c>
      <c r="D838" t="s">
        <v>0</v>
      </c>
      <c r="E838" s="1">
        <v>45112</v>
      </c>
      <c r="F838" s="1" t="str">
        <f t="shared" si="26"/>
        <v>July</v>
      </c>
      <c r="G838" t="s">
        <v>1</v>
      </c>
      <c r="H838" t="s">
        <v>14</v>
      </c>
      <c r="I838" t="s">
        <v>3</v>
      </c>
      <c r="J838" t="str">
        <f t="shared" si="27"/>
        <v>Error: Should be None</v>
      </c>
      <c r="K838">
        <v>3</v>
      </c>
      <c r="L838" s="2">
        <v>215.64</v>
      </c>
      <c r="M838" t="s">
        <v>16</v>
      </c>
    </row>
    <row r="839" spans="1:13" x14ac:dyDescent="0.35">
      <c r="A839">
        <v>838</v>
      </c>
      <c r="B839">
        <v>15</v>
      </c>
      <c r="C839" t="str">
        <f>IF(Hospital[[#This Row],[Age]]&lt;=12,"Child",
IF(Hospital[[#This Row],[Age]]&lt;=19,"Teen",
IF(Hospital[[#This Row],[Age]]&lt;=35,"Young Adult",
IF(Hospital[[#This Row],[Age]]&lt;=59,"Adult",
"Senior"))))</f>
        <v>Teen</v>
      </c>
      <c r="D839" t="s">
        <v>5</v>
      </c>
      <c r="E839" s="1">
        <v>45053</v>
      </c>
      <c r="F839" s="1" t="str">
        <f t="shared" si="26"/>
        <v>May</v>
      </c>
      <c r="G839" t="s">
        <v>6</v>
      </c>
      <c r="H839" t="s">
        <v>12</v>
      </c>
      <c r="I839" t="s">
        <v>18</v>
      </c>
      <c r="J839" t="str">
        <f t="shared" si="27"/>
        <v>Error: Should be None</v>
      </c>
      <c r="K839">
        <v>4</v>
      </c>
      <c r="L839" s="2">
        <v>287.42</v>
      </c>
      <c r="M839" t="s">
        <v>4</v>
      </c>
    </row>
    <row r="840" spans="1:13" x14ac:dyDescent="0.35">
      <c r="A840">
        <v>839</v>
      </c>
      <c r="B840">
        <v>64</v>
      </c>
      <c r="C840" t="str">
        <f>IF(Hospital[[#This Row],[Age]]&lt;=12,"Child",
IF(Hospital[[#This Row],[Age]]&lt;=19,"Teen",
IF(Hospital[[#This Row],[Age]]&lt;=35,"Young Adult",
IF(Hospital[[#This Row],[Age]]&lt;=59,"Adult",
"Senior"))))</f>
        <v>Senior</v>
      </c>
      <c r="D840" t="s">
        <v>5</v>
      </c>
      <c r="E840" s="1">
        <v>45011</v>
      </c>
      <c r="F840" s="1" t="str">
        <f t="shared" si="26"/>
        <v>March</v>
      </c>
      <c r="G840" t="s">
        <v>6</v>
      </c>
      <c r="H840" t="s">
        <v>14</v>
      </c>
      <c r="I840" t="s">
        <v>18</v>
      </c>
      <c r="J840" t="str">
        <f t="shared" si="27"/>
        <v>Error: Should be None</v>
      </c>
      <c r="K840">
        <v>7</v>
      </c>
      <c r="L840" s="2">
        <v>308.19</v>
      </c>
      <c r="M840" t="s">
        <v>16</v>
      </c>
    </row>
    <row r="841" spans="1:13" x14ac:dyDescent="0.35">
      <c r="A841">
        <v>840</v>
      </c>
      <c r="B841">
        <v>29</v>
      </c>
      <c r="C84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41" t="s">
        <v>0</v>
      </c>
      <c r="E841" s="1">
        <v>45630</v>
      </c>
      <c r="F841" s="1" t="str">
        <f t="shared" si="26"/>
        <v>December</v>
      </c>
      <c r="G841" t="s">
        <v>19</v>
      </c>
      <c r="H841" t="s">
        <v>12</v>
      </c>
      <c r="I841" t="s">
        <v>20</v>
      </c>
      <c r="J841" t="str">
        <f t="shared" si="27"/>
        <v>Error: Should be None</v>
      </c>
      <c r="K841">
        <v>3</v>
      </c>
      <c r="L841" s="2">
        <v>431.25</v>
      </c>
      <c r="M841" t="s">
        <v>10</v>
      </c>
    </row>
    <row r="842" spans="1:13" x14ac:dyDescent="0.35">
      <c r="A842">
        <v>841</v>
      </c>
      <c r="B842">
        <v>23</v>
      </c>
      <c r="C84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42" t="s">
        <v>5</v>
      </c>
      <c r="E842" s="1">
        <v>45622</v>
      </c>
      <c r="F842" s="1" t="str">
        <f t="shared" si="26"/>
        <v>November</v>
      </c>
      <c r="G842" t="s">
        <v>6</v>
      </c>
      <c r="H842" t="s">
        <v>14</v>
      </c>
      <c r="I842" t="s">
        <v>15</v>
      </c>
      <c r="J842" t="str">
        <f t="shared" si="27"/>
        <v>Error: Should be None</v>
      </c>
      <c r="K842">
        <v>6</v>
      </c>
      <c r="L842" s="2">
        <v>230.27</v>
      </c>
      <c r="M842" t="s">
        <v>4</v>
      </c>
    </row>
    <row r="843" spans="1:13" x14ac:dyDescent="0.35">
      <c r="A843">
        <v>842</v>
      </c>
      <c r="B843">
        <v>51</v>
      </c>
      <c r="C843" t="str">
        <f>IF(Hospital[[#This Row],[Age]]&lt;=12,"Child",
IF(Hospital[[#This Row],[Age]]&lt;=19,"Teen",
IF(Hospital[[#This Row],[Age]]&lt;=35,"Young Adult",
IF(Hospital[[#This Row],[Age]]&lt;=59,"Adult",
"Senior"))))</f>
        <v>Adult</v>
      </c>
      <c r="D843" t="s">
        <v>0</v>
      </c>
      <c r="E843" s="1">
        <v>45049</v>
      </c>
      <c r="F843" s="1" t="str">
        <f t="shared" si="26"/>
        <v>May</v>
      </c>
      <c r="G843" t="s">
        <v>11</v>
      </c>
      <c r="H843" t="s">
        <v>17</v>
      </c>
      <c r="I843" t="s">
        <v>13</v>
      </c>
      <c r="J843" t="str">
        <f t="shared" si="27"/>
        <v>Error: Should be None</v>
      </c>
      <c r="K843">
        <v>1</v>
      </c>
      <c r="L843" s="2">
        <v>194.58</v>
      </c>
      <c r="M843" t="s">
        <v>8</v>
      </c>
    </row>
    <row r="844" spans="1:13" x14ac:dyDescent="0.35">
      <c r="A844">
        <v>843</v>
      </c>
      <c r="B844">
        <v>77</v>
      </c>
      <c r="C844" t="str">
        <f>IF(Hospital[[#This Row],[Age]]&lt;=12,"Child",
IF(Hospital[[#This Row],[Age]]&lt;=19,"Teen",
IF(Hospital[[#This Row],[Age]]&lt;=35,"Young Adult",
IF(Hospital[[#This Row],[Age]]&lt;=59,"Adult",
"Senior"))))</f>
        <v>Senior</v>
      </c>
      <c r="D844" t="s">
        <v>0</v>
      </c>
      <c r="E844" s="1">
        <v>45273</v>
      </c>
      <c r="F844" s="1" t="str">
        <f t="shared" si="26"/>
        <v>December</v>
      </c>
      <c r="G844" t="s">
        <v>11</v>
      </c>
      <c r="H844" t="s">
        <v>17</v>
      </c>
      <c r="I844" t="s">
        <v>13</v>
      </c>
      <c r="J844" t="str">
        <f t="shared" si="27"/>
        <v>Error: Should be None</v>
      </c>
      <c r="K844">
        <v>6</v>
      </c>
      <c r="L844" s="2">
        <v>368.1</v>
      </c>
      <c r="M844" t="s">
        <v>16</v>
      </c>
    </row>
    <row r="845" spans="1:13" x14ac:dyDescent="0.35">
      <c r="A845">
        <v>844</v>
      </c>
      <c r="B845">
        <v>76</v>
      </c>
      <c r="C845" t="str">
        <f>IF(Hospital[[#This Row],[Age]]&lt;=12,"Child",
IF(Hospital[[#This Row],[Age]]&lt;=19,"Teen",
IF(Hospital[[#This Row],[Age]]&lt;=35,"Young Adult",
IF(Hospital[[#This Row],[Age]]&lt;=59,"Adult",
"Senior"))))</f>
        <v>Senior</v>
      </c>
      <c r="D845" t="s">
        <v>0</v>
      </c>
      <c r="E845" s="1">
        <v>45657</v>
      </c>
      <c r="F845" s="1" t="str">
        <f t="shared" si="26"/>
        <v>December</v>
      </c>
      <c r="G845" t="s">
        <v>6</v>
      </c>
      <c r="H845" t="s">
        <v>9</v>
      </c>
      <c r="I845" t="s">
        <v>3</v>
      </c>
      <c r="J845" t="str">
        <f t="shared" si="27"/>
        <v>Error: Should be None</v>
      </c>
      <c r="K845">
        <v>5</v>
      </c>
      <c r="L845" s="2">
        <v>248.4</v>
      </c>
      <c r="M845" t="s">
        <v>10</v>
      </c>
    </row>
    <row r="846" spans="1:13" x14ac:dyDescent="0.35">
      <c r="A846">
        <v>845</v>
      </c>
      <c r="B846">
        <v>36</v>
      </c>
      <c r="C846" t="str">
        <f>IF(Hospital[[#This Row],[Age]]&lt;=12,"Child",
IF(Hospital[[#This Row],[Age]]&lt;=19,"Teen",
IF(Hospital[[#This Row],[Age]]&lt;=35,"Young Adult",
IF(Hospital[[#This Row],[Age]]&lt;=59,"Adult",
"Senior"))))</f>
        <v>Adult</v>
      </c>
      <c r="D846" t="s">
        <v>5</v>
      </c>
      <c r="E846" s="1">
        <v>45423</v>
      </c>
      <c r="F846" s="1" t="str">
        <f t="shared" si="26"/>
        <v>May</v>
      </c>
      <c r="G846" t="s">
        <v>6</v>
      </c>
      <c r="H846" t="s">
        <v>9</v>
      </c>
      <c r="I846" t="s">
        <v>3</v>
      </c>
      <c r="J846" t="str">
        <f t="shared" si="27"/>
        <v>Error: Should be None</v>
      </c>
      <c r="K846">
        <v>1</v>
      </c>
      <c r="L846" s="2">
        <v>78.650000000000006</v>
      </c>
      <c r="M846" t="s">
        <v>10</v>
      </c>
    </row>
    <row r="847" spans="1:13" x14ac:dyDescent="0.35">
      <c r="A847">
        <v>846</v>
      </c>
      <c r="B847">
        <v>81</v>
      </c>
      <c r="C847" t="str">
        <f>IF(Hospital[[#This Row],[Age]]&lt;=12,"Child",
IF(Hospital[[#This Row],[Age]]&lt;=19,"Teen",
IF(Hospital[[#This Row],[Age]]&lt;=35,"Young Adult",
IF(Hospital[[#This Row],[Age]]&lt;=59,"Adult",
"Senior"))))</f>
        <v>Senior</v>
      </c>
      <c r="D847" t="s">
        <v>5</v>
      </c>
      <c r="E847" s="1">
        <v>45436</v>
      </c>
      <c r="F847" s="1" t="str">
        <f t="shared" si="26"/>
        <v>May</v>
      </c>
      <c r="G847" t="s">
        <v>11</v>
      </c>
      <c r="H847" t="s">
        <v>17</v>
      </c>
      <c r="I847" t="s">
        <v>15</v>
      </c>
      <c r="J847" t="str">
        <f t="shared" si="27"/>
        <v>Error: Should be None</v>
      </c>
      <c r="K847">
        <v>0</v>
      </c>
      <c r="L847" s="2">
        <v>418.55</v>
      </c>
      <c r="M847" t="s">
        <v>10</v>
      </c>
    </row>
    <row r="848" spans="1:13" x14ac:dyDescent="0.35">
      <c r="A848">
        <v>847</v>
      </c>
      <c r="B848">
        <v>23</v>
      </c>
      <c r="C84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48" t="s">
        <v>0</v>
      </c>
      <c r="E848" s="1">
        <v>45621</v>
      </c>
      <c r="F848" s="1" t="str">
        <f t="shared" si="26"/>
        <v>November</v>
      </c>
      <c r="G848" t="s">
        <v>19</v>
      </c>
      <c r="H848" t="s">
        <v>2</v>
      </c>
      <c r="I848" t="s">
        <v>3</v>
      </c>
      <c r="J848" t="str">
        <f t="shared" si="27"/>
        <v>Error: Should be None</v>
      </c>
      <c r="K848">
        <v>2</v>
      </c>
      <c r="L848" s="2">
        <v>165.32</v>
      </c>
      <c r="M848" t="s">
        <v>4</v>
      </c>
    </row>
    <row r="849" spans="1:13" x14ac:dyDescent="0.35">
      <c r="A849">
        <v>848</v>
      </c>
      <c r="B849">
        <v>67</v>
      </c>
      <c r="C849" t="str">
        <f>IF(Hospital[[#This Row],[Age]]&lt;=12,"Child",
IF(Hospital[[#This Row],[Age]]&lt;=19,"Teen",
IF(Hospital[[#This Row],[Age]]&lt;=35,"Young Adult",
IF(Hospital[[#This Row],[Age]]&lt;=59,"Adult",
"Senior"))))</f>
        <v>Senior</v>
      </c>
      <c r="D849" t="s">
        <v>0</v>
      </c>
      <c r="E849" s="1">
        <v>45005</v>
      </c>
      <c r="F849" s="1" t="str">
        <f t="shared" si="26"/>
        <v>March</v>
      </c>
      <c r="G849" t="s">
        <v>6</v>
      </c>
      <c r="H849" t="s">
        <v>7</v>
      </c>
      <c r="I849" t="s">
        <v>3</v>
      </c>
      <c r="J849" t="str">
        <f t="shared" si="27"/>
        <v>Error: Should be None</v>
      </c>
      <c r="K849">
        <v>3</v>
      </c>
      <c r="L849" s="2">
        <v>160.91</v>
      </c>
      <c r="M849" t="s">
        <v>10</v>
      </c>
    </row>
    <row r="850" spans="1:13" x14ac:dyDescent="0.35">
      <c r="A850">
        <v>849</v>
      </c>
      <c r="B850">
        <v>34</v>
      </c>
      <c r="C85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50" t="s">
        <v>0</v>
      </c>
      <c r="E850" s="1">
        <v>45429</v>
      </c>
      <c r="F850" s="1" t="str">
        <f t="shared" si="26"/>
        <v>May</v>
      </c>
      <c r="G850" t="s">
        <v>11</v>
      </c>
      <c r="H850" t="s">
        <v>9</v>
      </c>
      <c r="I850" t="s">
        <v>3</v>
      </c>
      <c r="J850" t="str">
        <f t="shared" si="27"/>
        <v>Error: Should be None</v>
      </c>
      <c r="K850">
        <v>0</v>
      </c>
      <c r="L850" s="2">
        <v>495.54</v>
      </c>
      <c r="M850" t="s">
        <v>4</v>
      </c>
    </row>
    <row r="851" spans="1:13" x14ac:dyDescent="0.35">
      <c r="A851">
        <v>850</v>
      </c>
      <c r="B851">
        <v>41</v>
      </c>
      <c r="C851" t="str">
        <f>IF(Hospital[[#This Row],[Age]]&lt;=12,"Child",
IF(Hospital[[#This Row],[Age]]&lt;=19,"Teen",
IF(Hospital[[#This Row],[Age]]&lt;=35,"Young Adult",
IF(Hospital[[#This Row],[Age]]&lt;=59,"Adult",
"Senior"))))</f>
        <v>Adult</v>
      </c>
      <c r="D851" t="s">
        <v>0</v>
      </c>
      <c r="E851" s="1">
        <v>45319</v>
      </c>
      <c r="F851" s="1" t="str">
        <f t="shared" si="26"/>
        <v>January</v>
      </c>
      <c r="G851" t="s">
        <v>6</v>
      </c>
      <c r="H851" t="s">
        <v>12</v>
      </c>
      <c r="I851" t="s">
        <v>20</v>
      </c>
      <c r="J851" t="str">
        <f t="shared" si="27"/>
        <v>Error: Should be None</v>
      </c>
      <c r="K851">
        <v>0</v>
      </c>
      <c r="L851" s="2">
        <v>35.770000000000003</v>
      </c>
      <c r="M851" t="s">
        <v>16</v>
      </c>
    </row>
    <row r="852" spans="1:13" x14ac:dyDescent="0.35">
      <c r="A852">
        <v>851</v>
      </c>
      <c r="B852">
        <v>63</v>
      </c>
      <c r="C852" t="str">
        <f>IF(Hospital[[#This Row],[Age]]&lt;=12,"Child",
IF(Hospital[[#This Row],[Age]]&lt;=19,"Teen",
IF(Hospital[[#This Row],[Age]]&lt;=35,"Young Adult",
IF(Hospital[[#This Row],[Age]]&lt;=59,"Adult",
"Senior"))))</f>
        <v>Senior</v>
      </c>
      <c r="D852" t="s">
        <v>0</v>
      </c>
      <c r="E852" s="1">
        <v>45650</v>
      </c>
      <c r="F852" s="1" t="str">
        <f t="shared" si="26"/>
        <v>December</v>
      </c>
      <c r="G852" t="s">
        <v>1</v>
      </c>
      <c r="H852" t="s">
        <v>17</v>
      </c>
      <c r="I852" t="s">
        <v>18</v>
      </c>
      <c r="J852" t="str">
        <f t="shared" si="27"/>
        <v>Error: Should be None</v>
      </c>
      <c r="K852">
        <v>6</v>
      </c>
      <c r="L852" s="2">
        <v>253.98</v>
      </c>
      <c r="M852" t="s">
        <v>4</v>
      </c>
    </row>
    <row r="853" spans="1:13" x14ac:dyDescent="0.35">
      <c r="A853">
        <v>852</v>
      </c>
      <c r="B853">
        <v>63</v>
      </c>
      <c r="C853" t="str">
        <f>IF(Hospital[[#This Row],[Age]]&lt;=12,"Child",
IF(Hospital[[#This Row],[Age]]&lt;=19,"Teen",
IF(Hospital[[#This Row],[Age]]&lt;=35,"Young Adult",
IF(Hospital[[#This Row],[Age]]&lt;=59,"Adult",
"Senior"))))</f>
        <v>Senior</v>
      </c>
      <c r="D853" t="s">
        <v>0</v>
      </c>
      <c r="E853" s="1">
        <v>45509</v>
      </c>
      <c r="F853" s="1" t="str">
        <f t="shared" si="26"/>
        <v>August</v>
      </c>
      <c r="G853" t="s">
        <v>6</v>
      </c>
      <c r="H853" t="s">
        <v>7</v>
      </c>
      <c r="I853" t="s">
        <v>3</v>
      </c>
      <c r="J853" t="str">
        <f t="shared" si="27"/>
        <v>Error: Should be None</v>
      </c>
      <c r="K853">
        <v>8</v>
      </c>
      <c r="L853" s="2">
        <v>430.09</v>
      </c>
      <c r="M853" t="s">
        <v>4</v>
      </c>
    </row>
    <row r="854" spans="1:13" x14ac:dyDescent="0.35">
      <c r="A854">
        <v>853</v>
      </c>
      <c r="B854">
        <v>64</v>
      </c>
      <c r="C854" t="str">
        <f>IF(Hospital[[#This Row],[Age]]&lt;=12,"Child",
IF(Hospital[[#This Row],[Age]]&lt;=19,"Teen",
IF(Hospital[[#This Row],[Age]]&lt;=35,"Young Adult",
IF(Hospital[[#This Row],[Age]]&lt;=59,"Adult",
"Senior"))))</f>
        <v>Senior</v>
      </c>
      <c r="D854" t="s">
        <v>0</v>
      </c>
      <c r="E854" s="1">
        <v>45327</v>
      </c>
      <c r="F854" s="1" t="str">
        <f t="shared" si="26"/>
        <v>February</v>
      </c>
      <c r="G854" t="s">
        <v>19</v>
      </c>
      <c r="H854" t="s">
        <v>14</v>
      </c>
      <c r="I854" t="s">
        <v>18</v>
      </c>
      <c r="J854" t="str">
        <f t="shared" si="27"/>
        <v>Error: Should be None</v>
      </c>
      <c r="K854">
        <v>5</v>
      </c>
      <c r="L854" s="2">
        <v>49.48</v>
      </c>
      <c r="M854" t="s">
        <v>4</v>
      </c>
    </row>
    <row r="855" spans="1:13" x14ac:dyDescent="0.35">
      <c r="A855">
        <v>854</v>
      </c>
      <c r="B855">
        <v>45</v>
      </c>
      <c r="C855" t="str">
        <f>IF(Hospital[[#This Row],[Age]]&lt;=12,"Child",
IF(Hospital[[#This Row],[Age]]&lt;=19,"Teen",
IF(Hospital[[#This Row],[Age]]&lt;=35,"Young Adult",
IF(Hospital[[#This Row],[Age]]&lt;=59,"Adult",
"Senior"))))</f>
        <v>Adult</v>
      </c>
      <c r="D855" t="s">
        <v>5</v>
      </c>
      <c r="E855" s="1">
        <v>45058</v>
      </c>
      <c r="F855" s="1" t="str">
        <f t="shared" si="26"/>
        <v>May</v>
      </c>
      <c r="G855" t="s">
        <v>19</v>
      </c>
      <c r="H855" t="s">
        <v>14</v>
      </c>
      <c r="I855" t="s">
        <v>20</v>
      </c>
      <c r="J855" t="str">
        <f t="shared" si="27"/>
        <v>Error: Should be None</v>
      </c>
      <c r="K855">
        <v>1</v>
      </c>
      <c r="L855" s="2">
        <v>225.51</v>
      </c>
      <c r="M855" t="s">
        <v>16</v>
      </c>
    </row>
    <row r="856" spans="1:13" x14ac:dyDescent="0.35">
      <c r="A856">
        <v>855</v>
      </c>
      <c r="B856">
        <v>8</v>
      </c>
      <c r="C856" t="str">
        <f>IF(Hospital[[#This Row],[Age]]&lt;=12,"Child",
IF(Hospital[[#This Row],[Age]]&lt;=19,"Teen",
IF(Hospital[[#This Row],[Age]]&lt;=35,"Young Adult",
IF(Hospital[[#This Row],[Age]]&lt;=59,"Adult",
"Senior"))))</f>
        <v>Child</v>
      </c>
      <c r="D856" t="s">
        <v>5</v>
      </c>
      <c r="E856" s="1">
        <v>45348</v>
      </c>
      <c r="F856" s="1" t="str">
        <f t="shared" si="26"/>
        <v>February</v>
      </c>
      <c r="G856" t="s">
        <v>1</v>
      </c>
      <c r="H856" t="s">
        <v>14</v>
      </c>
      <c r="I856" t="s">
        <v>13</v>
      </c>
      <c r="J856" t="str">
        <f t="shared" si="27"/>
        <v>Error: Should be None</v>
      </c>
      <c r="K856">
        <v>10</v>
      </c>
      <c r="L856" s="2">
        <v>169.81</v>
      </c>
      <c r="M856" t="s">
        <v>4</v>
      </c>
    </row>
    <row r="857" spans="1:13" x14ac:dyDescent="0.35">
      <c r="A857">
        <v>856</v>
      </c>
      <c r="B857">
        <v>40</v>
      </c>
      <c r="C857" t="str">
        <f>IF(Hospital[[#This Row],[Age]]&lt;=12,"Child",
IF(Hospital[[#This Row],[Age]]&lt;=19,"Teen",
IF(Hospital[[#This Row],[Age]]&lt;=35,"Young Adult",
IF(Hospital[[#This Row],[Age]]&lt;=59,"Adult",
"Senior"))))</f>
        <v>Adult</v>
      </c>
      <c r="D857" t="s">
        <v>5</v>
      </c>
      <c r="E857" s="1">
        <v>45631</v>
      </c>
      <c r="F857" s="1" t="str">
        <f t="shared" si="26"/>
        <v>December</v>
      </c>
      <c r="G857" t="s">
        <v>19</v>
      </c>
      <c r="H857" t="s">
        <v>2</v>
      </c>
      <c r="I857" t="s">
        <v>3</v>
      </c>
      <c r="J857" t="str">
        <f t="shared" si="27"/>
        <v>Error: Should be None</v>
      </c>
      <c r="K857">
        <v>2</v>
      </c>
      <c r="L857" s="2">
        <v>29.46</v>
      </c>
      <c r="M857" t="s">
        <v>16</v>
      </c>
    </row>
    <row r="858" spans="1:13" x14ac:dyDescent="0.35">
      <c r="A858">
        <v>857</v>
      </c>
      <c r="B858">
        <v>85</v>
      </c>
      <c r="C858" t="str">
        <f>IF(Hospital[[#This Row],[Age]]&lt;=12,"Child",
IF(Hospital[[#This Row],[Age]]&lt;=19,"Teen",
IF(Hospital[[#This Row],[Age]]&lt;=35,"Young Adult",
IF(Hospital[[#This Row],[Age]]&lt;=59,"Adult",
"Senior"))))</f>
        <v>Senior</v>
      </c>
      <c r="D858" t="s">
        <v>0</v>
      </c>
      <c r="E858" s="1">
        <v>44965</v>
      </c>
      <c r="F858" s="1" t="str">
        <f t="shared" si="26"/>
        <v>February</v>
      </c>
      <c r="G858" t="s">
        <v>6</v>
      </c>
      <c r="H858" t="s">
        <v>12</v>
      </c>
      <c r="I858" t="s">
        <v>18</v>
      </c>
      <c r="J858" t="str">
        <f t="shared" si="27"/>
        <v>Error: Should be None</v>
      </c>
      <c r="K858">
        <v>0</v>
      </c>
      <c r="L858" s="2">
        <v>354.06</v>
      </c>
      <c r="M858" t="s">
        <v>4</v>
      </c>
    </row>
    <row r="859" spans="1:13" x14ac:dyDescent="0.35">
      <c r="A859">
        <v>858</v>
      </c>
      <c r="B859">
        <v>74</v>
      </c>
      <c r="C859" t="str">
        <f>IF(Hospital[[#This Row],[Age]]&lt;=12,"Child",
IF(Hospital[[#This Row],[Age]]&lt;=19,"Teen",
IF(Hospital[[#This Row],[Age]]&lt;=35,"Young Adult",
IF(Hospital[[#This Row],[Age]]&lt;=59,"Adult",
"Senior"))))</f>
        <v>Senior</v>
      </c>
      <c r="D859" t="s">
        <v>0</v>
      </c>
      <c r="E859" s="1">
        <v>45251</v>
      </c>
      <c r="F859" s="1" t="str">
        <f t="shared" si="26"/>
        <v>November</v>
      </c>
      <c r="G859" t="s">
        <v>19</v>
      </c>
      <c r="H859" t="s">
        <v>12</v>
      </c>
      <c r="I859" t="s">
        <v>3</v>
      </c>
      <c r="J859" t="str">
        <f t="shared" si="27"/>
        <v>Error: Should be None</v>
      </c>
      <c r="K859">
        <v>1</v>
      </c>
      <c r="L859" s="2">
        <v>408</v>
      </c>
      <c r="M859" t="s">
        <v>4</v>
      </c>
    </row>
    <row r="860" spans="1:13" x14ac:dyDescent="0.35">
      <c r="A860">
        <v>859</v>
      </c>
      <c r="B860">
        <v>27</v>
      </c>
      <c r="C86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60" t="s">
        <v>0</v>
      </c>
      <c r="E860" s="1">
        <v>45634</v>
      </c>
      <c r="F860" s="1" t="str">
        <f t="shared" si="26"/>
        <v>December</v>
      </c>
      <c r="G860" t="s">
        <v>6</v>
      </c>
      <c r="H860" t="s">
        <v>7</v>
      </c>
      <c r="I860" t="s">
        <v>3</v>
      </c>
      <c r="J860" t="str">
        <f t="shared" si="27"/>
        <v>Error: Should be None</v>
      </c>
      <c r="K860">
        <v>8</v>
      </c>
      <c r="L860" s="2">
        <v>409.5</v>
      </c>
      <c r="M860" t="s">
        <v>16</v>
      </c>
    </row>
    <row r="861" spans="1:13" x14ac:dyDescent="0.35">
      <c r="A861">
        <v>860</v>
      </c>
      <c r="B861">
        <v>39</v>
      </c>
      <c r="C861" t="str">
        <f>IF(Hospital[[#This Row],[Age]]&lt;=12,"Child",
IF(Hospital[[#This Row],[Age]]&lt;=19,"Teen",
IF(Hospital[[#This Row],[Age]]&lt;=35,"Young Adult",
IF(Hospital[[#This Row],[Age]]&lt;=59,"Adult",
"Senior"))))</f>
        <v>Adult</v>
      </c>
      <c r="D861" t="s">
        <v>0</v>
      </c>
      <c r="E861" s="1">
        <v>45097</v>
      </c>
      <c r="F861" s="1" t="str">
        <f t="shared" si="26"/>
        <v>June</v>
      </c>
      <c r="G861" t="s">
        <v>6</v>
      </c>
      <c r="H861" t="s">
        <v>9</v>
      </c>
      <c r="I861" t="s">
        <v>3</v>
      </c>
      <c r="J861" t="str">
        <f t="shared" si="27"/>
        <v>Error: Should be None</v>
      </c>
      <c r="K861">
        <v>3</v>
      </c>
      <c r="L861" s="2">
        <v>258.54000000000002</v>
      </c>
      <c r="M861" t="s">
        <v>4</v>
      </c>
    </row>
    <row r="862" spans="1:13" x14ac:dyDescent="0.35">
      <c r="A862">
        <v>861</v>
      </c>
      <c r="B862">
        <v>37</v>
      </c>
      <c r="C862" t="str">
        <f>IF(Hospital[[#This Row],[Age]]&lt;=12,"Child",
IF(Hospital[[#This Row],[Age]]&lt;=19,"Teen",
IF(Hospital[[#This Row],[Age]]&lt;=35,"Young Adult",
IF(Hospital[[#This Row],[Age]]&lt;=59,"Adult",
"Senior"))))</f>
        <v>Adult</v>
      </c>
      <c r="D862" t="s">
        <v>0</v>
      </c>
      <c r="E862" s="1">
        <v>45475</v>
      </c>
      <c r="F862" s="1" t="str">
        <f t="shared" si="26"/>
        <v>July</v>
      </c>
      <c r="G862" t="s">
        <v>11</v>
      </c>
      <c r="H862" t="s">
        <v>17</v>
      </c>
      <c r="I862" t="s">
        <v>18</v>
      </c>
      <c r="J862" t="str">
        <f t="shared" si="27"/>
        <v>Error: Should be None</v>
      </c>
      <c r="K862">
        <v>9</v>
      </c>
      <c r="L862" s="2">
        <v>212.97</v>
      </c>
      <c r="M862" t="s">
        <v>8</v>
      </c>
    </row>
    <row r="863" spans="1:13" x14ac:dyDescent="0.35">
      <c r="A863">
        <v>862</v>
      </c>
      <c r="B863">
        <v>12</v>
      </c>
      <c r="C863" t="str">
        <f>IF(Hospital[[#This Row],[Age]]&lt;=12,"Child",
IF(Hospital[[#This Row],[Age]]&lt;=19,"Teen",
IF(Hospital[[#This Row],[Age]]&lt;=35,"Young Adult",
IF(Hospital[[#This Row],[Age]]&lt;=59,"Adult",
"Senior"))))</f>
        <v>Child</v>
      </c>
      <c r="D863" t="s">
        <v>5</v>
      </c>
      <c r="E863" s="1">
        <v>45566</v>
      </c>
      <c r="F863" s="1" t="str">
        <f t="shared" si="26"/>
        <v>October</v>
      </c>
      <c r="G863" t="s">
        <v>19</v>
      </c>
      <c r="H863" t="s">
        <v>7</v>
      </c>
      <c r="I863" t="s">
        <v>3</v>
      </c>
      <c r="J863" t="str">
        <f t="shared" si="27"/>
        <v>Error: Should be None</v>
      </c>
      <c r="K863">
        <v>4</v>
      </c>
      <c r="L863" s="2">
        <v>52.29</v>
      </c>
      <c r="M863" t="s">
        <v>10</v>
      </c>
    </row>
    <row r="864" spans="1:13" x14ac:dyDescent="0.35">
      <c r="A864">
        <v>863</v>
      </c>
      <c r="B864">
        <v>45</v>
      </c>
      <c r="C864" t="str">
        <f>IF(Hospital[[#This Row],[Age]]&lt;=12,"Child",
IF(Hospital[[#This Row],[Age]]&lt;=19,"Teen",
IF(Hospital[[#This Row],[Age]]&lt;=35,"Young Adult",
IF(Hospital[[#This Row],[Age]]&lt;=59,"Adult",
"Senior"))))</f>
        <v>Adult</v>
      </c>
      <c r="D864" t="s">
        <v>5</v>
      </c>
      <c r="E864" s="1">
        <v>45364</v>
      </c>
      <c r="F864" s="1" t="str">
        <f t="shared" si="26"/>
        <v>March</v>
      </c>
      <c r="G864" t="s">
        <v>19</v>
      </c>
      <c r="H864" t="s">
        <v>17</v>
      </c>
      <c r="I864" t="s">
        <v>3</v>
      </c>
      <c r="J864" t="str">
        <f t="shared" si="27"/>
        <v>Error: Should be None</v>
      </c>
      <c r="K864">
        <v>4</v>
      </c>
      <c r="L864" s="2">
        <v>227.8</v>
      </c>
      <c r="M864" t="s">
        <v>16</v>
      </c>
    </row>
    <row r="865" spans="1:13" x14ac:dyDescent="0.35">
      <c r="A865">
        <v>864</v>
      </c>
      <c r="B865">
        <v>52</v>
      </c>
      <c r="C865" t="str">
        <f>IF(Hospital[[#This Row],[Age]]&lt;=12,"Child",
IF(Hospital[[#This Row],[Age]]&lt;=19,"Teen",
IF(Hospital[[#This Row],[Age]]&lt;=35,"Young Adult",
IF(Hospital[[#This Row],[Age]]&lt;=59,"Adult",
"Senior"))))</f>
        <v>Adult</v>
      </c>
      <c r="D865" t="s">
        <v>0</v>
      </c>
      <c r="E865" s="1">
        <v>45131</v>
      </c>
      <c r="F865" s="1" t="str">
        <f t="shared" si="26"/>
        <v>July</v>
      </c>
      <c r="G865" t="s">
        <v>6</v>
      </c>
      <c r="H865" t="s">
        <v>12</v>
      </c>
      <c r="I865" t="s">
        <v>3</v>
      </c>
      <c r="J865" t="str">
        <f t="shared" si="27"/>
        <v>Error: Should be None</v>
      </c>
      <c r="K865">
        <v>2</v>
      </c>
      <c r="L865" s="2">
        <v>442.83</v>
      </c>
      <c r="M865" t="s">
        <v>8</v>
      </c>
    </row>
    <row r="866" spans="1:13" x14ac:dyDescent="0.35">
      <c r="A866">
        <v>865</v>
      </c>
      <c r="B866">
        <v>28</v>
      </c>
      <c r="C86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66" t="s">
        <v>0</v>
      </c>
      <c r="E866" s="1">
        <v>45517</v>
      </c>
      <c r="F866" s="1" t="str">
        <f t="shared" si="26"/>
        <v>August</v>
      </c>
      <c r="G866" t="s">
        <v>19</v>
      </c>
      <c r="H866" t="s">
        <v>12</v>
      </c>
      <c r="I866" t="s">
        <v>3</v>
      </c>
      <c r="J866" t="str">
        <f t="shared" si="27"/>
        <v>Error: Should be None</v>
      </c>
      <c r="K866">
        <v>9</v>
      </c>
      <c r="L866" s="2">
        <v>429.33</v>
      </c>
      <c r="M866" t="s">
        <v>10</v>
      </c>
    </row>
    <row r="867" spans="1:13" x14ac:dyDescent="0.35">
      <c r="A867">
        <v>866</v>
      </c>
      <c r="B867">
        <v>81</v>
      </c>
      <c r="C867" t="str">
        <f>IF(Hospital[[#This Row],[Age]]&lt;=12,"Child",
IF(Hospital[[#This Row],[Age]]&lt;=19,"Teen",
IF(Hospital[[#This Row],[Age]]&lt;=35,"Young Adult",
IF(Hospital[[#This Row],[Age]]&lt;=59,"Adult",
"Senior"))))</f>
        <v>Senior</v>
      </c>
      <c r="D867" t="s">
        <v>5</v>
      </c>
      <c r="E867" s="1">
        <v>45506</v>
      </c>
      <c r="F867" s="1" t="str">
        <f t="shared" si="26"/>
        <v>August</v>
      </c>
      <c r="G867" t="s">
        <v>1</v>
      </c>
      <c r="H867" t="s">
        <v>7</v>
      </c>
      <c r="I867" t="s">
        <v>3</v>
      </c>
      <c r="J867" t="str">
        <f t="shared" si="27"/>
        <v>Error: Should be None</v>
      </c>
      <c r="K867">
        <v>5</v>
      </c>
      <c r="L867" s="2">
        <v>241.99</v>
      </c>
      <c r="M867" t="s">
        <v>8</v>
      </c>
    </row>
    <row r="868" spans="1:13" x14ac:dyDescent="0.35">
      <c r="A868">
        <v>867</v>
      </c>
      <c r="B868">
        <v>39</v>
      </c>
      <c r="C868" t="str">
        <f>IF(Hospital[[#This Row],[Age]]&lt;=12,"Child",
IF(Hospital[[#This Row],[Age]]&lt;=19,"Teen",
IF(Hospital[[#This Row],[Age]]&lt;=35,"Young Adult",
IF(Hospital[[#This Row],[Age]]&lt;=59,"Adult",
"Senior"))))</f>
        <v>Adult</v>
      </c>
      <c r="D868" t="s">
        <v>0</v>
      </c>
      <c r="E868" s="1">
        <v>45081</v>
      </c>
      <c r="F868" s="1" t="str">
        <f t="shared" si="26"/>
        <v>June</v>
      </c>
      <c r="G868" t="s">
        <v>6</v>
      </c>
      <c r="H868" t="s">
        <v>7</v>
      </c>
      <c r="I868" t="s">
        <v>3</v>
      </c>
      <c r="J868" t="str">
        <f t="shared" si="27"/>
        <v>Error: Should be None</v>
      </c>
      <c r="K868">
        <v>5</v>
      </c>
      <c r="L868" s="2">
        <v>432.89</v>
      </c>
      <c r="M868" t="s">
        <v>4</v>
      </c>
    </row>
    <row r="869" spans="1:13" x14ac:dyDescent="0.35">
      <c r="A869">
        <v>868</v>
      </c>
      <c r="B869">
        <v>53</v>
      </c>
      <c r="C869" t="str">
        <f>IF(Hospital[[#This Row],[Age]]&lt;=12,"Child",
IF(Hospital[[#This Row],[Age]]&lt;=19,"Teen",
IF(Hospital[[#This Row],[Age]]&lt;=35,"Young Adult",
IF(Hospital[[#This Row],[Age]]&lt;=59,"Adult",
"Senior"))))</f>
        <v>Adult</v>
      </c>
      <c r="D869" t="s">
        <v>0</v>
      </c>
      <c r="E869" s="1">
        <v>45576</v>
      </c>
      <c r="F869" s="1" t="str">
        <f t="shared" si="26"/>
        <v>October</v>
      </c>
      <c r="G869" t="s">
        <v>19</v>
      </c>
      <c r="H869" t="s">
        <v>17</v>
      </c>
      <c r="I869" t="s">
        <v>13</v>
      </c>
      <c r="J869" t="str">
        <f t="shared" si="27"/>
        <v>Error: Should be None</v>
      </c>
      <c r="K869">
        <v>4</v>
      </c>
      <c r="L869" s="2">
        <v>349.69</v>
      </c>
      <c r="M869" t="s">
        <v>8</v>
      </c>
    </row>
    <row r="870" spans="1:13" x14ac:dyDescent="0.35">
      <c r="A870">
        <v>869</v>
      </c>
      <c r="B870">
        <v>15</v>
      </c>
      <c r="C870" t="str">
        <f>IF(Hospital[[#This Row],[Age]]&lt;=12,"Child",
IF(Hospital[[#This Row],[Age]]&lt;=19,"Teen",
IF(Hospital[[#This Row],[Age]]&lt;=35,"Young Adult",
IF(Hospital[[#This Row],[Age]]&lt;=59,"Adult",
"Senior"))))</f>
        <v>Teen</v>
      </c>
      <c r="D870" t="s">
        <v>5</v>
      </c>
      <c r="E870" s="1">
        <v>45342</v>
      </c>
      <c r="F870" s="1" t="str">
        <f t="shared" si="26"/>
        <v>February</v>
      </c>
      <c r="G870" t="s">
        <v>1</v>
      </c>
      <c r="H870" t="s">
        <v>17</v>
      </c>
      <c r="I870" t="s">
        <v>15</v>
      </c>
      <c r="J870" t="str">
        <f t="shared" si="27"/>
        <v>Error: Should be None</v>
      </c>
      <c r="K870">
        <v>3</v>
      </c>
      <c r="L870" s="2">
        <v>402.58</v>
      </c>
      <c r="M870" t="s">
        <v>16</v>
      </c>
    </row>
    <row r="871" spans="1:13" x14ac:dyDescent="0.35">
      <c r="A871">
        <v>870</v>
      </c>
      <c r="B871">
        <v>72</v>
      </c>
      <c r="C871" t="str">
        <f>IF(Hospital[[#This Row],[Age]]&lt;=12,"Child",
IF(Hospital[[#This Row],[Age]]&lt;=19,"Teen",
IF(Hospital[[#This Row],[Age]]&lt;=35,"Young Adult",
IF(Hospital[[#This Row],[Age]]&lt;=59,"Adult",
"Senior"))))</f>
        <v>Senior</v>
      </c>
      <c r="D871" t="s">
        <v>0</v>
      </c>
      <c r="E871" s="1">
        <v>45402</v>
      </c>
      <c r="F871" s="1" t="str">
        <f t="shared" si="26"/>
        <v>April</v>
      </c>
      <c r="G871" t="s">
        <v>6</v>
      </c>
      <c r="H871" t="s">
        <v>12</v>
      </c>
      <c r="I871" t="s">
        <v>15</v>
      </c>
      <c r="J871" t="str">
        <f t="shared" si="27"/>
        <v>Error: Should be None</v>
      </c>
      <c r="K871">
        <v>3</v>
      </c>
      <c r="L871" s="2">
        <v>96.49</v>
      </c>
      <c r="M871" t="s">
        <v>8</v>
      </c>
    </row>
    <row r="872" spans="1:13" x14ac:dyDescent="0.35">
      <c r="A872">
        <v>871</v>
      </c>
      <c r="B872">
        <v>36</v>
      </c>
      <c r="C872" t="str">
        <f>IF(Hospital[[#This Row],[Age]]&lt;=12,"Child",
IF(Hospital[[#This Row],[Age]]&lt;=19,"Teen",
IF(Hospital[[#This Row],[Age]]&lt;=35,"Young Adult",
IF(Hospital[[#This Row],[Age]]&lt;=59,"Adult",
"Senior"))))</f>
        <v>Adult</v>
      </c>
      <c r="D872" t="s">
        <v>5</v>
      </c>
      <c r="E872" s="1">
        <v>44956</v>
      </c>
      <c r="F872" s="1" t="str">
        <f t="shared" si="26"/>
        <v>January</v>
      </c>
      <c r="G872" t="s">
        <v>11</v>
      </c>
      <c r="H872" t="s">
        <v>14</v>
      </c>
      <c r="I872" t="s">
        <v>20</v>
      </c>
      <c r="J872" t="str">
        <f t="shared" si="27"/>
        <v>Error: Should be None</v>
      </c>
      <c r="K872">
        <v>0</v>
      </c>
      <c r="L872" s="2">
        <v>46.56</v>
      </c>
      <c r="M872" t="s">
        <v>4</v>
      </c>
    </row>
    <row r="873" spans="1:13" x14ac:dyDescent="0.35">
      <c r="A873">
        <v>872</v>
      </c>
      <c r="B873">
        <v>39</v>
      </c>
      <c r="C873" t="str">
        <f>IF(Hospital[[#This Row],[Age]]&lt;=12,"Child",
IF(Hospital[[#This Row],[Age]]&lt;=19,"Teen",
IF(Hospital[[#This Row],[Age]]&lt;=35,"Young Adult",
IF(Hospital[[#This Row],[Age]]&lt;=59,"Adult",
"Senior"))))</f>
        <v>Adult</v>
      </c>
      <c r="D873" t="s">
        <v>5</v>
      </c>
      <c r="E873" s="1">
        <v>45248</v>
      </c>
      <c r="F873" s="1" t="str">
        <f t="shared" si="26"/>
        <v>November</v>
      </c>
      <c r="G873" t="s">
        <v>6</v>
      </c>
      <c r="H873" t="s">
        <v>9</v>
      </c>
      <c r="I873" t="s">
        <v>3</v>
      </c>
      <c r="J873" t="str">
        <f t="shared" si="27"/>
        <v>Error: Should be None</v>
      </c>
      <c r="K873">
        <v>5</v>
      </c>
      <c r="L873" s="2">
        <v>342.4</v>
      </c>
      <c r="M873" t="s">
        <v>4</v>
      </c>
    </row>
    <row r="874" spans="1:13" x14ac:dyDescent="0.35">
      <c r="A874">
        <v>873</v>
      </c>
      <c r="B874">
        <v>18</v>
      </c>
      <c r="C874" t="str">
        <f>IF(Hospital[[#This Row],[Age]]&lt;=12,"Child",
IF(Hospital[[#This Row],[Age]]&lt;=19,"Teen",
IF(Hospital[[#This Row],[Age]]&lt;=35,"Young Adult",
IF(Hospital[[#This Row],[Age]]&lt;=59,"Adult",
"Senior"))))</f>
        <v>Teen</v>
      </c>
      <c r="D874" t="s">
        <v>5</v>
      </c>
      <c r="E874" s="1">
        <v>45333</v>
      </c>
      <c r="F874" s="1" t="str">
        <f t="shared" si="26"/>
        <v>February</v>
      </c>
      <c r="G874" t="s">
        <v>11</v>
      </c>
      <c r="H874" t="s">
        <v>7</v>
      </c>
      <c r="I874" t="s">
        <v>3</v>
      </c>
      <c r="J874" t="str">
        <f t="shared" si="27"/>
        <v>Error: Should be None</v>
      </c>
      <c r="K874">
        <v>9</v>
      </c>
      <c r="L874" s="2">
        <v>372.55</v>
      </c>
      <c r="M874" t="s">
        <v>4</v>
      </c>
    </row>
    <row r="875" spans="1:13" x14ac:dyDescent="0.35">
      <c r="A875">
        <v>874</v>
      </c>
      <c r="B875">
        <v>75</v>
      </c>
      <c r="C875" t="str">
        <f>IF(Hospital[[#This Row],[Age]]&lt;=12,"Child",
IF(Hospital[[#This Row],[Age]]&lt;=19,"Teen",
IF(Hospital[[#This Row],[Age]]&lt;=35,"Young Adult",
IF(Hospital[[#This Row],[Age]]&lt;=59,"Adult",
"Senior"))))</f>
        <v>Senior</v>
      </c>
      <c r="D875" t="s">
        <v>0</v>
      </c>
      <c r="E875" s="1">
        <v>45461</v>
      </c>
      <c r="F875" s="1" t="str">
        <f t="shared" si="26"/>
        <v>June</v>
      </c>
      <c r="G875" t="s">
        <v>6</v>
      </c>
      <c r="H875" t="s">
        <v>7</v>
      </c>
      <c r="I875" t="s">
        <v>3</v>
      </c>
      <c r="J875" t="str">
        <f t="shared" si="27"/>
        <v>Error: Should be None</v>
      </c>
      <c r="K875">
        <v>1</v>
      </c>
      <c r="L875" s="2">
        <v>134.28</v>
      </c>
      <c r="M875" t="s">
        <v>4</v>
      </c>
    </row>
    <row r="876" spans="1:13" x14ac:dyDescent="0.35">
      <c r="A876">
        <v>875</v>
      </c>
      <c r="B876">
        <v>75</v>
      </c>
      <c r="C876" t="str">
        <f>IF(Hospital[[#This Row],[Age]]&lt;=12,"Child",
IF(Hospital[[#This Row],[Age]]&lt;=19,"Teen",
IF(Hospital[[#This Row],[Age]]&lt;=35,"Young Adult",
IF(Hospital[[#This Row],[Age]]&lt;=59,"Adult",
"Senior"))))</f>
        <v>Senior</v>
      </c>
      <c r="D876" t="s">
        <v>0</v>
      </c>
      <c r="E876" s="1">
        <v>45247</v>
      </c>
      <c r="F876" s="1" t="str">
        <f t="shared" si="26"/>
        <v>November</v>
      </c>
      <c r="G876" t="s">
        <v>1</v>
      </c>
      <c r="H876" t="s">
        <v>14</v>
      </c>
      <c r="I876" t="s">
        <v>20</v>
      </c>
      <c r="J876" t="str">
        <f t="shared" si="27"/>
        <v>Error: Should be None</v>
      </c>
      <c r="K876">
        <v>3</v>
      </c>
      <c r="L876" s="2">
        <v>89.25</v>
      </c>
      <c r="M876" t="s">
        <v>8</v>
      </c>
    </row>
    <row r="877" spans="1:13" x14ac:dyDescent="0.35">
      <c r="A877">
        <v>876</v>
      </c>
      <c r="B877">
        <v>57</v>
      </c>
      <c r="C877" t="str">
        <f>IF(Hospital[[#This Row],[Age]]&lt;=12,"Child",
IF(Hospital[[#This Row],[Age]]&lt;=19,"Teen",
IF(Hospital[[#This Row],[Age]]&lt;=35,"Young Adult",
IF(Hospital[[#This Row],[Age]]&lt;=59,"Adult",
"Senior"))))</f>
        <v>Adult</v>
      </c>
      <c r="D877" t="s">
        <v>0</v>
      </c>
      <c r="E877" s="1">
        <v>45146</v>
      </c>
      <c r="F877" s="1" t="str">
        <f t="shared" si="26"/>
        <v>August</v>
      </c>
      <c r="G877" t="s">
        <v>19</v>
      </c>
      <c r="H877" t="s">
        <v>14</v>
      </c>
      <c r="I877" t="s">
        <v>3</v>
      </c>
      <c r="J877" t="str">
        <f t="shared" si="27"/>
        <v>Error: Should be None</v>
      </c>
      <c r="K877">
        <v>0</v>
      </c>
      <c r="L877" s="2">
        <v>255.37</v>
      </c>
      <c r="M877" t="s">
        <v>16</v>
      </c>
    </row>
    <row r="878" spans="1:13" x14ac:dyDescent="0.35">
      <c r="A878">
        <v>877</v>
      </c>
      <c r="B878">
        <v>41</v>
      </c>
      <c r="C878" t="str">
        <f>IF(Hospital[[#This Row],[Age]]&lt;=12,"Child",
IF(Hospital[[#This Row],[Age]]&lt;=19,"Teen",
IF(Hospital[[#This Row],[Age]]&lt;=35,"Young Adult",
IF(Hospital[[#This Row],[Age]]&lt;=59,"Adult",
"Senior"))))</f>
        <v>Adult</v>
      </c>
      <c r="D878" t="s">
        <v>0</v>
      </c>
      <c r="E878" s="1">
        <v>45643</v>
      </c>
      <c r="F878" s="1" t="str">
        <f t="shared" si="26"/>
        <v>December</v>
      </c>
      <c r="G878" t="s">
        <v>6</v>
      </c>
      <c r="H878" t="s">
        <v>2</v>
      </c>
      <c r="I878" t="s">
        <v>3</v>
      </c>
      <c r="J878" t="str">
        <f t="shared" si="27"/>
        <v>Error: Should be None</v>
      </c>
      <c r="K878">
        <v>10</v>
      </c>
      <c r="L878" s="2">
        <v>138.25</v>
      </c>
      <c r="M878" t="s">
        <v>16</v>
      </c>
    </row>
    <row r="879" spans="1:13" x14ac:dyDescent="0.35">
      <c r="A879">
        <v>878</v>
      </c>
      <c r="B879">
        <v>61</v>
      </c>
      <c r="C879" t="str">
        <f>IF(Hospital[[#This Row],[Age]]&lt;=12,"Child",
IF(Hospital[[#This Row],[Age]]&lt;=19,"Teen",
IF(Hospital[[#This Row],[Age]]&lt;=35,"Young Adult",
IF(Hospital[[#This Row],[Age]]&lt;=59,"Adult",
"Senior"))))</f>
        <v>Senior</v>
      </c>
      <c r="D879" t="s">
        <v>0</v>
      </c>
      <c r="E879" s="1">
        <v>45075</v>
      </c>
      <c r="F879" s="1" t="str">
        <f t="shared" si="26"/>
        <v>May</v>
      </c>
      <c r="G879" t="s">
        <v>19</v>
      </c>
      <c r="H879" t="s">
        <v>14</v>
      </c>
      <c r="I879" t="s">
        <v>15</v>
      </c>
      <c r="J879" t="str">
        <f t="shared" si="27"/>
        <v>Error: Should be None</v>
      </c>
      <c r="K879">
        <v>10</v>
      </c>
      <c r="L879" s="2">
        <v>484.07</v>
      </c>
      <c r="M879" t="s">
        <v>4</v>
      </c>
    </row>
    <row r="880" spans="1:13" x14ac:dyDescent="0.35">
      <c r="A880">
        <v>879</v>
      </c>
      <c r="B880">
        <v>31</v>
      </c>
      <c r="C88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80" t="s">
        <v>0</v>
      </c>
      <c r="E880" s="1">
        <v>45605</v>
      </c>
      <c r="F880" s="1" t="str">
        <f t="shared" si="26"/>
        <v>November</v>
      </c>
      <c r="G880" t="s">
        <v>6</v>
      </c>
      <c r="H880" t="s">
        <v>2</v>
      </c>
      <c r="I880" t="s">
        <v>3</v>
      </c>
      <c r="J880" t="str">
        <f t="shared" si="27"/>
        <v>Error: Should be None</v>
      </c>
      <c r="K880">
        <v>4</v>
      </c>
      <c r="L880" s="2">
        <v>326.7</v>
      </c>
      <c r="M880" t="s">
        <v>16</v>
      </c>
    </row>
    <row r="881" spans="1:13" x14ac:dyDescent="0.35">
      <c r="A881">
        <v>880</v>
      </c>
      <c r="B881">
        <v>69</v>
      </c>
      <c r="C881" t="str">
        <f>IF(Hospital[[#This Row],[Age]]&lt;=12,"Child",
IF(Hospital[[#This Row],[Age]]&lt;=19,"Teen",
IF(Hospital[[#This Row],[Age]]&lt;=35,"Young Adult",
IF(Hospital[[#This Row],[Age]]&lt;=59,"Adult",
"Senior"))))</f>
        <v>Senior</v>
      </c>
      <c r="D881" t="s">
        <v>5</v>
      </c>
      <c r="E881" s="1">
        <v>45628</v>
      </c>
      <c r="F881" s="1" t="str">
        <f t="shared" si="26"/>
        <v>December</v>
      </c>
      <c r="G881" t="s">
        <v>6</v>
      </c>
      <c r="H881" t="s">
        <v>2</v>
      </c>
      <c r="I881" t="s">
        <v>3</v>
      </c>
      <c r="J881" t="str">
        <f t="shared" si="27"/>
        <v>Error: Should be None</v>
      </c>
      <c r="K881">
        <v>6</v>
      </c>
      <c r="L881" s="2">
        <v>23.78</v>
      </c>
      <c r="M881" t="s">
        <v>10</v>
      </c>
    </row>
    <row r="882" spans="1:13" x14ac:dyDescent="0.35">
      <c r="A882">
        <v>881</v>
      </c>
      <c r="B882">
        <v>12</v>
      </c>
      <c r="C882" t="str">
        <f>IF(Hospital[[#This Row],[Age]]&lt;=12,"Child",
IF(Hospital[[#This Row],[Age]]&lt;=19,"Teen",
IF(Hospital[[#This Row],[Age]]&lt;=35,"Young Adult",
IF(Hospital[[#This Row],[Age]]&lt;=59,"Adult",
"Senior"))))</f>
        <v>Child</v>
      </c>
      <c r="D882" t="s">
        <v>5</v>
      </c>
      <c r="E882" s="1">
        <v>45188</v>
      </c>
      <c r="F882" s="1" t="str">
        <f t="shared" si="26"/>
        <v>September</v>
      </c>
      <c r="G882" t="s">
        <v>19</v>
      </c>
      <c r="H882" t="s">
        <v>14</v>
      </c>
      <c r="I882" t="s">
        <v>13</v>
      </c>
      <c r="J882" t="str">
        <f t="shared" si="27"/>
        <v>Error: Should be None</v>
      </c>
      <c r="K882">
        <v>2</v>
      </c>
      <c r="L882" s="2">
        <v>459.63</v>
      </c>
      <c r="M882" t="s">
        <v>16</v>
      </c>
    </row>
    <row r="883" spans="1:13" x14ac:dyDescent="0.35">
      <c r="A883">
        <v>882</v>
      </c>
      <c r="B883">
        <v>5</v>
      </c>
      <c r="C883" t="str">
        <f>IF(Hospital[[#This Row],[Age]]&lt;=12,"Child",
IF(Hospital[[#This Row],[Age]]&lt;=19,"Teen",
IF(Hospital[[#This Row],[Age]]&lt;=35,"Young Adult",
IF(Hospital[[#This Row],[Age]]&lt;=59,"Adult",
"Senior"))))</f>
        <v>Child</v>
      </c>
      <c r="D883" t="s">
        <v>0</v>
      </c>
      <c r="E883" s="1">
        <v>45586</v>
      </c>
      <c r="F883" s="1" t="str">
        <f t="shared" si="26"/>
        <v>October</v>
      </c>
      <c r="G883" t="s">
        <v>11</v>
      </c>
      <c r="H883" t="s">
        <v>12</v>
      </c>
      <c r="I883" t="s">
        <v>20</v>
      </c>
      <c r="J883" t="str">
        <f t="shared" si="27"/>
        <v>Error: Should be None</v>
      </c>
      <c r="K883">
        <v>7</v>
      </c>
      <c r="L883" s="2">
        <v>373.73</v>
      </c>
      <c r="M883" t="s">
        <v>16</v>
      </c>
    </row>
    <row r="884" spans="1:13" x14ac:dyDescent="0.35">
      <c r="A884">
        <v>883</v>
      </c>
      <c r="B884">
        <v>21</v>
      </c>
      <c r="C88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84" t="s">
        <v>0</v>
      </c>
      <c r="E884" s="1">
        <v>45359</v>
      </c>
      <c r="F884" s="1" t="str">
        <f t="shared" si="26"/>
        <v>March</v>
      </c>
      <c r="G884" t="s">
        <v>11</v>
      </c>
      <c r="H884" t="s">
        <v>2</v>
      </c>
      <c r="I884" t="s">
        <v>3</v>
      </c>
      <c r="J884" t="str">
        <f t="shared" si="27"/>
        <v>Error: Should be None</v>
      </c>
      <c r="K884">
        <v>5</v>
      </c>
      <c r="L884" s="2">
        <v>222.02</v>
      </c>
      <c r="M884" t="s">
        <v>16</v>
      </c>
    </row>
    <row r="885" spans="1:13" x14ac:dyDescent="0.35">
      <c r="A885">
        <v>884</v>
      </c>
      <c r="B885">
        <v>4</v>
      </c>
      <c r="C885" t="str">
        <f>IF(Hospital[[#This Row],[Age]]&lt;=12,"Child",
IF(Hospital[[#This Row],[Age]]&lt;=19,"Teen",
IF(Hospital[[#This Row],[Age]]&lt;=35,"Young Adult",
IF(Hospital[[#This Row],[Age]]&lt;=59,"Adult",
"Senior"))))</f>
        <v>Child</v>
      </c>
      <c r="D885" t="s">
        <v>5</v>
      </c>
      <c r="E885" s="1">
        <v>45391</v>
      </c>
      <c r="F885" s="1" t="str">
        <f t="shared" si="26"/>
        <v>April</v>
      </c>
      <c r="G885" t="s">
        <v>1</v>
      </c>
      <c r="H885" t="s">
        <v>7</v>
      </c>
      <c r="I885" t="s">
        <v>3</v>
      </c>
      <c r="J885" t="str">
        <f t="shared" si="27"/>
        <v>Error: Should be None</v>
      </c>
      <c r="K885">
        <v>10</v>
      </c>
      <c r="L885" s="2">
        <v>232.83</v>
      </c>
      <c r="M885" t="s">
        <v>8</v>
      </c>
    </row>
    <row r="886" spans="1:13" x14ac:dyDescent="0.35">
      <c r="A886">
        <v>885</v>
      </c>
      <c r="B886">
        <v>26</v>
      </c>
      <c r="C88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86" t="s">
        <v>0</v>
      </c>
      <c r="E886" s="1">
        <v>44930</v>
      </c>
      <c r="F886" s="1" t="str">
        <f t="shared" si="26"/>
        <v>January</v>
      </c>
      <c r="G886" t="s">
        <v>19</v>
      </c>
      <c r="H886" t="s">
        <v>12</v>
      </c>
      <c r="I886" t="s">
        <v>3</v>
      </c>
      <c r="J886" t="str">
        <f t="shared" si="27"/>
        <v>Error: Should be None</v>
      </c>
      <c r="K886">
        <v>1</v>
      </c>
      <c r="L886" s="2">
        <v>73.2</v>
      </c>
      <c r="M886" t="s">
        <v>8</v>
      </c>
    </row>
    <row r="887" spans="1:13" x14ac:dyDescent="0.35">
      <c r="A887">
        <v>886</v>
      </c>
      <c r="B887">
        <v>84</v>
      </c>
      <c r="C887" t="str">
        <f>IF(Hospital[[#This Row],[Age]]&lt;=12,"Child",
IF(Hospital[[#This Row],[Age]]&lt;=19,"Teen",
IF(Hospital[[#This Row],[Age]]&lt;=35,"Young Adult",
IF(Hospital[[#This Row],[Age]]&lt;=59,"Adult",
"Senior"))))</f>
        <v>Senior</v>
      </c>
      <c r="D887" t="s">
        <v>5</v>
      </c>
      <c r="E887" s="1">
        <v>45455</v>
      </c>
      <c r="F887" s="1" t="str">
        <f t="shared" si="26"/>
        <v>June</v>
      </c>
      <c r="G887" t="s">
        <v>6</v>
      </c>
      <c r="H887" t="s">
        <v>7</v>
      </c>
      <c r="I887" t="s">
        <v>3</v>
      </c>
      <c r="J887" t="str">
        <f t="shared" si="27"/>
        <v>Error: Should be None</v>
      </c>
      <c r="K887">
        <v>5</v>
      </c>
      <c r="L887" s="2">
        <v>236.72</v>
      </c>
      <c r="M887" t="s">
        <v>8</v>
      </c>
    </row>
    <row r="888" spans="1:13" x14ac:dyDescent="0.35">
      <c r="A888">
        <v>887</v>
      </c>
      <c r="B888">
        <v>76</v>
      </c>
      <c r="C888" t="str">
        <f>IF(Hospital[[#This Row],[Age]]&lt;=12,"Child",
IF(Hospital[[#This Row],[Age]]&lt;=19,"Teen",
IF(Hospital[[#This Row],[Age]]&lt;=35,"Young Adult",
IF(Hospital[[#This Row],[Age]]&lt;=59,"Adult",
"Senior"))))</f>
        <v>Senior</v>
      </c>
      <c r="D888" t="s">
        <v>0</v>
      </c>
      <c r="E888" s="1">
        <v>45193</v>
      </c>
      <c r="F888" s="1" t="str">
        <f t="shared" si="26"/>
        <v>September</v>
      </c>
      <c r="G888" t="s">
        <v>19</v>
      </c>
      <c r="H888" t="s">
        <v>17</v>
      </c>
      <c r="I888" t="s">
        <v>13</v>
      </c>
      <c r="J888" t="str">
        <f t="shared" si="27"/>
        <v>Error: Should be None</v>
      </c>
      <c r="K888">
        <v>1</v>
      </c>
      <c r="L888" s="2">
        <v>218.96</v>
      </c>
      <c r="M888" t="s">
        <v>8</v>
      </c>
    </row>
    <row r="889" spans="1:13" x14ac:dyDescent="0.35">
      <c r="A889">
        <v>888</v>
      </c>
      <c r="B889">
        <v>74</v>
      </c>
      <c r="C889" t="str">
        <f>IF(Hospital[[#This Row],[Age]]&lt;=12,"Child",
IF(Hospital[[#This Row],[Age]]&lt;=19,"Teen",
IF(Hospital[[#This Row],[Age]]&lt;=35,"Young Adult",
IF(Hospital[[#This Row],[Age]]&lt;=59,"Adult",
"Senior"))))</f>
        <v>Senior</v>
      </c>
      <c r="D889" t="s">
        <v>5</v>
      </c>
      <c r="E889" s="1">
        <v>45329</v>
      </c>
      <c r="F889" s="1" t="str">
        <f t="shared" si="26"/>
        <v>February</v>
      </c>
      <c r="G889" t="s">
        <v>11</v>
      </c>
      <c r="H889" t="s">
        <v>12</v>
      </c>
      <c r="I889" t="s">
        <v>15</v>
      </c>
      <c r="J889" t="str">
        <f t="shared" si="27"/>
        <v>Error: Should be None</v>
      </c>
      <c r="K889">
        <v>8</v>
      </c>
      <c r="L889" s="2">
        <v>330.61</v>
      </c>
      <c r="M889" t="s">
        <v>8</v>
      </c>
    </row>
    <row r="890" spans="1:13" x14ac:dyDescent="0.35">
      <c r="A890">
        <v>889</v>
      </c>
      <c r="B890">
        <v>26</v>
      </c>
      <c r="C89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90" t="s">
        <v>0</v>
      </c>
      <c r="E890" s="1">
        <v>45018</v>
      </c>
      <c r="F890" s="1" t="str">
        <f t="shared" si="26"/>
        <v>April</v>
      </c>
      <c r="G890" t="s">
        <v>1</v>
      </c>
      <c r="H890" t="s">
        <v>12</v>
      </c>
      <c r="I890" t="s">
        <v>15</v>
      </c>
      <c r="J890" t="str">
        <f t="shared" si="27"/>
        <v>Error: Should be None</v>
      </c>
      <c r="K890">
        <v>6</v>
      </c>
      <c r="L890" s="2">
        <v>316.64</v>
      </c>
      <c r="M890" t="s">
        <v>16</v>
      </c>
    </row>
    <row r="891" spans="1:13" x14ac:dyDescent="0.35">
      <c r="A891">
        <v>890</v>
      </c>
      <c r="B891">
        <v>48</v>
      </c>
      <c r="C891" t="str">
        <f>IF(Hospital[[#This Row],[Age]]&lt;=12,"Child",
IF(Hospital[[#This Row],[Age]]&lt;=19,"Teen",
IF(Hospital[[#This Row],[Age]]&lt;=35,"Young Adult",
IF(Hospital[[#This Row],[Age]]&lt;=59,"Adult",
"Senior"))))</f>
        <v>Adult</v>
      </c>
      <c r="D891" t="s">
        <v>5</v>
      </c>
      <c r="E891" s="1">
        <v>45079</v>
      </c>
      <c r="F891" s="1" t="str">
        <f t="shared" si="26"/>
        <v>June</v>
      </c>
      <c r="G891" t="s">
        <v>11</v>
      </c>
      <c r="H891" t="s">
        <v>2</v>
      </c>
      <c r="I891" t="s">
        <v>3</v>
      </c>
      <c r="J891" t="str">
        <f t="shared" si="27"/>
        <v>Error: Should be None</v>
      </c>
      <c r="K891">
        <v>0</v>
      </c>
      <c r="L891" s="2">
        <v>364.92</v>
      </c>
      <c r="M891" t="s">
        <v>10</v>
      </c>
    </row>
    <row r="892" spans="1:13" x14ac:dyDescent="0.35">
      <c r="A892">
        <v>891</v>
      </c>
      <c r="B892">
        <v>64</v>
      </c>
      <c r="C892" t="str">
        <f>IF(Hospital[[#This Row],[Age]]&lt;=12,"Child",
IF(Hospital[[#This Row],[Age]]&lt;=19,"Teen",
IF(Hospital[[#This Row],[Age]]&lt;=35,"Young Adult",
IF(Hospital[[#This Row],[Age]]&lt;=59,"Adult",
"Senior"))))</f>
        <v>Senior</v>
      </c>
      <c r="D892" t="s">
        <v>5</v>
      </c>
      <c r="E892" s="1">
        <v>45391</v>
      </c>
      <c r="F892" s="1" t="str">
        <f t="shared" si="26"/>
        <v>April</v>
      </c>
      <c r="G892" t="s">
        <v>1</v>
      </c>
      <c r="H892" t="s">
        <v>7</v>
      </c>
      <c r="I892" t="s">
        <v>3</v>
      </c>
      <c r="J892" t="str">
        <f t="shared" si="27"/>
        <v>Error: Should be None</v>
      </c>
      <c r="K892">
        <v>3</v>
      </c>
      <c r="L892" s="2">
        <v>111.46</v>
      </c>
      <c r="M892" t="s">
        <v>16</v>
      </c>
    </row>
    <row r="893" spans="1:13" x14ac:dyDescent="0.35">
      <c r="A893">
        <v>892</v>
      </c>
      <c r="B893">
        <v>64</v>
      </c>
      <c r="C893" t="str">
        <f>IF(Hospital[[#This Row],[Age]]&lt;=12,"Child",
IF(Hospital[[#This Row],[Age]]&lt;=19,"Teen",
IF(Hospital[[#This Row],[Age]]&lt;=35,"Young Adult",
IF(Hospital[[#This Row],[Age]]&lt;=59,"Adult",
"Senior"))))</f>
        <v>Senior</v>
      </c>
      <c r="D893" t="s">
        <v>0</v>
      </c>
      <c r="E893" s="1">
        <v>45221</v>
      </c>
      <c r="F893" s="1" t="str">
        <f t="shared" si="26"/>
        <v>October</v>
      </c>
      <c r="G893" t="s">
        <v>1</v>
      </c>
      <c r="H893" t="s">
        <v>7</v>
      </c>
      <c r="I893" t="s">
        <v>3</v>
      </c>
      <c r="J893" t="str">
        <f t="shared" si="27"/>
        <v>Error: Should be None</v>
      </c>
      <c r="K893">
        <v>6</v>
      </c>
      <c r="L893" s="2">
        <v>431.04</v>
      </c>
      <c r="M893" t="s">
        <v>8</v>
      </c>
    </row>
    <row r="894" spans="1:13" x14ac:dyDescent="0.35">
      <c r="A894">
        <v>893</v>
      </c>
      <c r="B894">
        <v>25</v>
      </c>
      <c r="C89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94" t="s">
        <v>0</v>
      </c>
      <c r="E894" s="1">
        <v>45216</v>
      </c>
      <c r="F894" s="1" t="str">
        <f t="shared" si="26"/>
        <v>October</v>
      </c>
      <c r="G894" t="s">
        <v>1</v>
      </c>
      <c r="H894" t="s">
        <v>7</v>
      </c>
      <c r="I894" t="s">
        <v>3</v>
      </c>
      <c r="J894" t="str">
        <f t="shared" si="27"/>
        <v>Error: Should be None</v>
      </c>
      <c r="K894">
        <v>6</v>
      </c>
      <c r="L894" s="2">
        <v>400.38</v>
      </c>
      <c r="M894" t="s">
        <v>4</v>
      </c>
    </row>
    <row r="895" spans="1:13" x14ac:dyDescent="0.35">
      <c r="A895">
        <v>894</v>
      </c>
      <c r="B895">
        <v>31</v>
      </c>
      <c r="C89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895" t="s">
        <v>0</v>
      </c>
      <c r="E895" s="1">
        <v>45224</v>
      </c>
      <c r="F895" s="1" t="str">
        <f t="shared" si="26"/>
        <v>October</v>
      </c>
      <c r="G895" t="s">
        <v>1</v>
      </c>
      <c r="H895" t="s">
        <v>14</v>
      </c>
      <c r="I895" t="s">
        <v>18</v>
      </c>
      <c r="J895" t="str">
        <f t="shared" si="27"/>
        <v>Error: Should be None</v>
      </c>
      <c r="K895">
        <v>9</v>
      </c>
      <c r="L895" s="2">
        <v>348.45</v>
      </c>
      <c r="M895" t="s">
        <v>10</v>
      </c>
    </row>
    <row r="896" spans="1:13" x14ac:dyDescent="0.35">
      <c r="A896">
        <v>895</v>
      </c>
      <c r="B896">
        <v>61</v>
      </c>
      <c r="C896" t="str">
        <f>IF(Hospital[[#This Row],[Age]]&lt;=12,"Child",
IF(Hospital[[#This Row],[Age]]&lt;=19,"Teen",
IF(Hospital[[#This Row],[Age]]&lt;=35,"Young Adult",
IF(Hospital[[#This Row],[Age]]&lt;=59,"Adult",
"Senior"))))</f>
        <v>Senior</v>
      </c>
      <c r="D896" t="s">
        <v>5</v>
      </c>
      <c r="E896" s="1">
        <v>45014</v>
      </c>
      <c r="F896" s="1" t="str">
        <f t="shared" si="26"/>
        <v>March</v>
      </c>
      <c r="G896" t="s">
        <v>19</v>
      </c>
      <c r="H896" t="s">
        <v>2</v>
      </c>
      <c r="I896" t="s">
        <v>3</v>
      </c>
      <c r="J896" t="str">
        <f t="shared" si="27"/>
        <v>Error: Should be None</v>
      </c>
      <c r="K896">
        <v>6</v>
      </c>
      <c r="L896" s="2">
        <v>349.69</v>
      </c>
      <c r="M896" t="s">
        <v>10</v>
      </c>
    </row>
    <row r="897" spans="1:13" x14ac:dyDescent="0.35">
      <c r="A897">
        <v>896</v>
      </c>
      <c r="B897">
        <v>77</v>
      </c>
      <c r="C897" t="str">
        <f>IF(Hospital[[#This Row],[Age]]&lt;=12,"Child",
IF(Hospital[[#This Row],[Age]]&lt;=19,"Teen",
IF(Hospital[[#This Row],[Age]]&lt;=35,"Young Adult",
IF(Hospital[[#This Row],[Age]]&lt;=59,"Adult",
"Senior"))))</f>
        <v>Senior</v>
      </c>
      <c r="D897" t="s">
        <v>0</v>
      </c>
      <c r="E897" s="1">
        <v>45652</v>
      </c>
      <c r="F897" s="1" t="str">
        <f t="shared" si="26"/>
        <v>December</v>
      </c>
      <c r="G897" t="s">
        <v>11</v>
      </c>
      <c r="H897" t="s">
        <v>12</v>
      </c>
      <c r="I897" t="s">
        <v>15</v>
      </c>
      <c r="J897" t="str">
        <f t="shared" si="27"/>
        <v>Error: Should be None</v>
      </c>
      <c r="K897">
        <v>8</v>
      </c>
      <c r="L897" s="2">
        <v>48.2</v>
      </c>
      <c r="M897" t="s">
        <v>16</v>
      </c>
    </row>
    <row r="898" spans="1:13" x14ac:dyDescent="0.35">
      <c r="A898">
        <v>897</v>
      </c>
      <c r="B898">
        <v>46</v>
      </c>
      <c r="C898" t="str">
        <f>IF(Hospital[[#This Row],[Age]]&lt;=12,"Child",
IF(Hospital[[#This Row],[Age]]&lt;=19,"Teen",
IF(Hospital[[#This Row],[Age]]&lt;=35,"Young Adult",
IF(Hospital[[#This Row],[Age]]&lt;=59,"Adult",
"Senior"))))</f>
        <v>Adult</v>
      </c>
      <c r="D898" t="s">
        <v>5</v>
      </c>
      <c r="E898" s="1">
        <v>45167</v>
      </c>
      <c r="F898" s="1" t="str">
        <f t="shared" si="26"/>
        <v>August</v>
      </c>
      <c r="G898" t="s">
        <v>11</v>
      </c>
      <c r="H898" t="s">
        <v>12</v>
      </c>
      <c r="I898" t="s">
        <v>18</v>
      </c>
      <c r="J898" t="str">
        <f t="shared" si="27"/>
        <v>Error: Should be None</v>
      </c>
      <c r="K898">
        <v>8</v>
      </c>
      <c r="L898" s="2">
        <v>317.44</v>
      </c>
      <c r="M898" t="s">
        <v>16</v>
      </c>
    </row>
    <row r="899" spans="1:13" x14ac:dyDescent="0.35">
      <c r="A899">
        <v>898</v>
      </c>
      <c r="B899">
        <v>48</v>
      </c>
      <c r="C899" t="str">
        <f>IF(Hospital[[#This Row],[Age]]&lt;=12,"Child",
IF(Hospital[[#This Row],[Age]]&lt;=19,"Teen",
IF(Hospital[[#This Row],[Age]]&lt;=35,"Young Adult",
IF(Hospital[[#This Row],[Age]]&lt;=59,"Adult",
"Senior"))))</f>
        <v>Adult</v>
      </c>
      <c r="D899" t="s">
        <v>5</v>
      </c>
      <c r="E899" s="1">
        <v>45331</v>
      </c>
      <c r="F899" s="1" t="str">
        <f t="shared" ref="F899:F962" si="28">TEXT(E899, "mmmm")</f>
        <v>February</v>
      </c>
      <c r="G899" t="s">
        <v>11</v>
      </c>
      <c r="H899" t="s">
        <v>7</v>
      </c>
      <c r="I899" t="s">
        <v>3</v>
      </c>
      <c r="J899" t="str">
        <f t="shared" ref="J899:J962" si="29">IF(OR(G899="UTI", G899="Pneumonia", G899="Typhoid"),
   IF(H899="None","Error: Should have antibiotics","OK"),
   IF(H899&lt;&gt;"None","Error: Should be None","OK"))</f>
        <v>Error: Should be None</v>
      </c>
      <c r="K899">
        <v>9</v>
      </c>
      <c r="L899" s="2">
        <v>106.1</v>
      </c>
      <c r="M899" t="s">
        <v>8</v>
      </c>
    </row>
    <row r="900" spans="1:13" x14ac:dyDescent="0.35">
      <c r="A900">
        <v>899</v>
      </c>
      <c r="B900">
        <v>44</v>
      </c>
      <c r="C900" t="str">
        <f>IF(Hospital[[#This Row],[Age]]&lt;=12,"Child",
IF(Hospital[[#This Row],[Age]]&lt;=19,"Teen",
IF(Hospital[[#This Row],[Age]]&lt;=35,"Young Adult",
IF(Hospital[[#This Row],[Age]]&lt;=59,"Adult",
"Senior"))))</f>
        <v>Adult</v>
      </c>
      <c r="D900" t="s">
        <v>0</v>
      </c>
      <c r="E900" s="1">
        <v>45442</v>
      </c>
      <c r="F900" s="1" t="str">
        <f t="shared" si="28"/>
        <v>May</v>
      </c>
      <c r="G900" t="s">
        <v>1</v>
      </c>
      <c r="H900" t="s">
        <v>12</v>
      </c>
      <c r="I900" t="s">
        <v>15</v>
      </c>
      <c r="J900" t="str">
        <f t="shared" si="29"/>
        <v>Error: Should be None</v>
      </c>
      <c r="K900">
        <v>5</v>
      </c>
      <c r="L900" s="2">
        <v>360.92</v>
      </c>
      <c r="M900" t="s">
        <v>10</v>
      </c>
    </row>
    <row r="901" spans="1:13" x14ac:dyDescent="0.35">
      <c r="A901">
        <v>900</v>
      </c>
      <c r="B901">
        <v>15</v>
      </c>
      <c r="C901" t="str">
        <f>IF(Hospital[[#This Row],[Age]]&lt;=12,"Child",
IF(Hospital[[#This Row],[Age]]&lt;=19,"Teen",
IF(Hospital[[#This Row],[Age]]&lt;=35,"Young Adult",
IF(Hospital[[#This Row],[Age]]&lt;=59,"Adult",
"Senior"))))</f>
        <v>Teen</v>
      </c>
      <c r="D901" t="s">
        <v>0</v>
      </c>
      <c r="E901" s="1">
        <v>45072</v>
      </c>
      <c r="F901" s="1" t="str">
        <f t="shared" si="28"/>
        <v>May</v>
      </c>
      <c r="G901" t="s">
        <v>11</v>
      </c>
      <c r="H901" t="s">
        <v>14</v>
      </c>
      <c r="I901" t="s">
        <v>13</v>
      </c>
      <c r="J901" t="str">
        <f t="shared" si="29"/>
        <v>Error: Should be None</v>
      </c>
      <c r="K901">
        <v>7</v>
      </c>
      <c r="L901" s="2">
        <v>438.41</v>
      </c>
      <c r="M901" t="s">
        <v>16</v>
      </c>
    </row>
    <row r="902" spans="1:13" x14ac:dyDescent="0.35">
      <c r="A902">
        <v>901</v>
      </c>
      <c r="B902">
        <v>37</v>
      </c>
      <c r="C902" t="str">
        <f>IF(Hospital[[#This Row],[Age]]&lt;=12,"Child",
IF(Hospital[[#This Row],[Age]]&lt;=19,"Teen",
IF(Hospital[[#This Row],[Age]]&lt;=35,"Young Adult",
IF(Hospital[[#This Row],[Age]]&lt;=59,"Adult",
"Senior"))))</f>
        <v>Adult</v>
      </c>
      <c r="D902" t="s">
        <v>0</v>
      </c>
      <c r="E902" s="1">
        <v>45296</v>
      </c>
      <c r="F902" s="1" t="str">
        <f t="shared" si="28"/>
        <v>January</v>
      </c>
      <c r="G902" t="s">
        <v>19</v>
      </c>
      <c r="H902" t="s">
        <v>12</v>
      </c>
      <c r="I902" t="s">
        <v>3</v>
      </c>
      <c r="J902" t="str">
        <f t="shared" si="29"/>
        <v>Error: Should be None</v>
      </c>
      <c r="K902">
        <v>5</v>
      </c>
      <c r="L902" s="2">
        <v>229.17</v>
      </c>
      <c r="M902" t="s">
        <v>8</v>
      </c>
    </row>
    <row r="903" spans="1:13" x14ac:dyDescent="0.35">
      <c r="A903">
        <v>902</v>
      </c>
      <c r="B903">
        <v>63</v>
      </c>
      <c r="C903" t="str">
        <f>IF(Hospital[[#This Row],[Age]]&lt;=12,"Child",
IF(Hospital[[#This Row],[Age]]&lt;=19,"Teen",
IF(Hospital[[#This Row],[Age]]&lt;=35,"Young Adult",
IF(Hospital[[#This Row],[Age]]&lt;=59,"Adult",
"Senior"))))</f>
        <v>Senior</v>
      </c>
      <c r="D903" t="s">
        <v>5</v>
      </c>
      <c r="E903" s="1">
        <v>45250</v>
      </c>
      <c r="F903" s="1" t="str">
        <f t="shared" si="28"/>
        <v>November</v>
      </c>
      <c r="G903" t="s">
        <v>6</v>
      </c>
      <c r="H903" t="s">
        <v>7</v>
      </c>
      <c r="I903" t="s">
        <v>3</v>
      </c>
      <c r="J903" t="str">
        <f t="shared" si="29"/>
        <v>Error: Should be None</v>
      </c>
      <c r="K903">
        <v>0</v>
      </c>
      <c r="L903" s="2">
        <v>110.68</v>
      </c>
      <c r="M903" t="s">
        <v>4</v>
      </c>
    </row>
    <row r="904" spans="1:13" x14ac:dyDescent="0.35">
      <c r="A904">
        <v>903</v>
      </c>
      <c r="B904">
        <v>5</v>
      </c>
      <c r="C904" t="str">
        <f>IF(Hospital[[#This Row],[Age]]&lt;=12,"Child",
IF(Hospital[[#This Row],[Age]]&lt;=19,"Teen",
IF(Hospital[[#This Row],[Age]]&lt;=35,"Young Adult",
IF(Hospital[[#This Row],[Age]]&lt;=59,"Adult",
"Senior"))))</f>
        <v>Child</v>
      </c>
      <c r="D904" t="s">
        <v>0</v>
      </c>
      <c r="E904" s="1">
        <v>45162</v>
      </c>
      <c r="F904" s="1" t="str">
        <f t="shared" si="28"/>
        <v>August</v>
      </c>
      <c r="G904" t="s">
        <v>19</v>
      </c>
      <c r="H904" t="s">
        <v>17</v>
      </c>
      <c r="I904" t="s">
        <v>13</v>
      </c>
      <c r="J904" t="str">
        <f t="shared" si="29"/>
        <v>Error: Should be None</v>
      </c>
      <c r="K904">
        <v>7</v>
      </c>
      <c r="L904" s="2">
        <v>229.49</v>
      </c>
      <c r="M904" t="s">
        <v>10</v>
      </c>
    </row>
    <row r="905" spans="1:13" x14ac:dyDescent="0.35">
      <c r="A905">
        <v>904</v>
      </c>
      <c r="B905">
        <v>46</v>
      </c>
      <c r="C905" t="str">
        <f>IF(Hospital[[#This Row],[Age]]&lt;=12,"Child",
IF(Hospital[[#This Row],[Age]]&lt;=19,"Teen",
IF(Hospital[[#This Row],[Age]]&lt;=35,"Young Adult",
IF(Hospital[[#This Row],[Age]]&lt;=59,"Adult",
"Senior"))))</f>
        <v>Adult</v>
      </c>
      <c r="D905" t="s">
        <v>0</v>
      </c>
      <c r="E905" s="1">
        <v>44968</v>
      </c>
      <c r="F905" s="1" t="str">
        <f t="shared" si="28"/>
        <v>February</v>
      </c>
      <c r="G905" t="s">
        <v>6</v>
      </c>
      <c r="H905" t="s">
        <v>12</v>
      </c>
      <c r="I905" t="s">
        <v>20</v>
      </c>
      <c r="J905" t="str">
        <f t="shared" si="29"/>
        <v>Error: Should be None</v>
      </c>
      <c r="K905">
        <v>1</v>
      </c>
      <c r="L905" s="2">
        <v>426</v>
      </c>
      <c r="M905" t="s">
        <v>8</v>
      </c>
    </row>
    <row r="906" spans="1:13" x14ac:dyDescent="0.35">
      <c r="A906">
        <v>905</v>
      </c>
      <c r="B906">
        <v>12</v>
      </c>
      <c r="C906" t="str">
        <f>IF(Hospital[[#This Row],[Age]]&lt;=12,"Child",
IF(Hospital[[#This Row],[Age]]&lt;=19,"Teen",
IF(Hospital[[#This Row],[Age]]&lt;=35,"Young Adult",
IF(Hospital[[#This Row],[Age]]&lt;=59,"Adult",
"Senior"))))</f>
        <v>Child</v>
      </c>
      <c r="D906" t="s">
        <v>5</v>
      </c>
      <c r="E906" s="1">
        <v>45053</v>
      </c>
      <c r="F906" s="1" t="str">
        <f t="shared" si="28"/>
        <v>May</v>
      </c>
      <c r="G906" t="s">
        <v>19</v>
      </c>
      <c r="H906" t="s">
        <v>14</v>
      </c>
      <c r="I906" t="s">
        <v>13</v>
      </c>
      <c r="J906" t="str">
        <f t="shared" si="29"/>
        <v>Error: Should be None</v>
      </c>
      <c r="K906">
        <v>2</v>
      </c>
      <c r="L906" s="2">
        <v>379.97</v>
      </c>
      <c r="M906" t="s">
        <v>16</v>
      </c>
    </row>
    <row r="907" spans="1:13" x14ac:dyDescent="0.35">
      <c r="A907">
        <v>906</v>
      </c>
      <c r="B907">
        <v>75</v>
      </c>
      <c r="C907" t="str">
        <f>IF(Hospital[[#This Row],[Age]]&lt;=12,"Child",
IF(Hospital[[#This Row],[Age]]&lt;=19,"Teen",
IF(Hospital[[#This Row],[Age]]&lt;=35,"Young Adult",
IF(Hospital[[#This Row],[Age]]&lt;=59,"Adult",
"Senior"))))</f>
        <v>Senior</v>
      </c>
      <c r="D907" t="s">
        <v>5</v>
      </c>
      <c r="E907" s="1">
        <v>45503</v>
      </c>
      <c r="F907" s="1" t="str">
        <f t="shared" si="28"/>
        <v>July</v>
      </c>
      <c r="G907" t="s">
        <v>11</v>
      </c>
      <c r="H907" t="s">
        <v>7</v>
      </c>
      <c r="I907" t="s">
        <v>3</v>
      </c>
      <c r="J907" t="str">
        <f t="shared" si="29"/>
        <v>Error: Should be None</v>
      </c>
      <c r="K907">
        <v>8</v>
      </c>
      <c r="L907" s="2">
        <v>388.09</v>
      </c>
      <c r="M907" t="s">
        <v>8</v>
      </c>
    </row>
    <row r="908" spans="1:13" x14ac:dyDescent="0.35">
      <c r="A908">
        <v>907</v>
      </c>
      <c r="B908">
        <v>32</v>
      </c>
      <c r="C90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08" t="s">
        <v>0</v>
      </c>
      <c r="E908" s="1">
        <v>45353</v>
      </c>
      <c r="F908" s="1" t="str">
        <f t="shared" si="28"/>
        <v>March</v>
      </c>
      <c r="G908" t="s">
        <v>11</v>
      </c>
      <c r="H908" t="s">
        <v>2</v>
      </c>
      <c r="I908" t="s">
        <v>3</v>
      </c>
      <c r="J908" t="str">
        <f t="shared" si="29"/>
        <v>Error: Should be None</v>
      </c>
      <c r="K908">
        <v>5</v>
      </c>
      <c r="L908" s="2">
        <v>32.46</v>
      </c>
      <c r="M908" t="s">
        <v>4</v>
      </c>
    </row>
    <row r="909" spans="1:13" x14ac:dyDescent="0.35">
      <c r="A909">
        <v>908</v>
      </c>
      <c r="B909">
        <v>76</v>
      </c>
      <c r="C909" t="str">
        <f>IF(Hospital[[#This Row],[Age]]&lt;=12,"Child",
IF(Hospital[[#This Row],[Age]]&lt;=19,"Teen",
IF(Hospital[[#This Row],[Age]]&lt;=35,"Young Adult",
IF(Hospital[[#This Row],[Age]]&lt;=59,"Adult",
"Senior"))))</f>
        <v>Senior</v>
      </c>
      <c r="D909" t="s">
        <v>5</v>
      </c>
      <c r="E909" s="1">
        <v>45330</v>
      </c>
      <c r="F909" s="1" t="str">
        <f t="shared" si="28"/>
        <v>February</v>
      </c>
      <c r="G909" t="s">
        <v>19</v>
      </c>
      <c r="H909" t="s">
        <v>14</v>
      </c>
      <c r="I909" t="s">
        <v>13</v>
      </c>
      <c r="J909" t="str">
        <f t="shared" si="29"/>
        <v>Error: Should be None</v>
      </c>
      <c r="K909">
        <v>0</v>
      </c>
      <c r="L909" s="2">
        <v>58.91</v>
      </c>
      <c r="M909" t="s">
        <v>10</v>
      </c>
    </row>
    <row r="910" spans="1:13" x14ac:dyDescent="0.35">
      <c r="A910">
        <v>909</v>
      </c>
      <c r="B910">
        <v>35</v>
      </c>
      <c r="C91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10" t="s">
        <v>5</v>
      </c>
      <c r="E910" s="1">
        <v>45391</v>
      </c>
      <c r="F910" s="1" t="str">
        <f t="shared" si="28"/>
        <v>April</v>
      </c>
      <c r="G910" t="s">
        <v>19</v>
      </c>
      <c r="H910" t="s">
        <v>7</v>
      </c>
      <c r="I910" t="s">
        <v>3</v>
      </c>
      <c r="J910" t="str">
        <f t="shared" si="29"/>
        <v>Error: Should be None</v>
      </c>
      <c r="K910">
        <v>0</v>
      </c>
      <c r="L910" s="2">
        <v>334.96</v>
      </c>
      <c r="M910" t="s">
        <v>10</v>
      </c>
    </row>
    <row r="911" spans="1:13" x14ac:dyDescent="0.35">
      <c r="A911">
        <v>910</v>
      </c>
      <c r="B911">
        <v>73</v>
      </c>
      <c r="C911" t="str">
        <f>IF(Hospital[[#This Row],[Age]]&lt;=12,"Child",
IF(Hospital[[#This Row],[Age]]&lt;=19,"Teen",
IF(Hospital[[#This Row],[Age]]&lt;=35,"Young Adult",
IF(Hospital[[#This Row],[Age]]&lt;=59,"Adult",
"Senior"))))</f>
        <v>Senior</v>
      </c>
      <c r="D911" t="s">
        <v>5</v>
      </c>
      <c r="E911" s="1">
        <v>45259</v>
      </c>
      <c r="F911" s="1" t="str">
        <f t="shared" si="28"/>
        <v>November</v>
      </c>
      <c r="G911" t="s">
        <v>1</v>
      </c>
      <c r="H911" t="s">
        <v>7</v>
      </c>
      <c r="I911" t="s">
        <v>3</v>
      </c>
      <c r="J911" t="str">
        <f t="shared" si="29"/>
        <v>Error: Should be None</v>
      </c>
      <c r="K911">
        <v>0</v>
      </c>
      <c r="L911" s="2">
        <v>404.75</v>
      </c>
      <c r="M911" t="s">
        <v>16</v>
      </c>
    </row>
    <row r="912" spans="1:13" x14ac:dyDescent="0.35">
      <c r="A912">
        <v>911</v>
      </c>
      <c r="B912">
        <v>10</v>
      </c>
      <c r="C912" t="str">
        <f>IF(Hospital[[#This Row],[Age]]&lt;=12,"Child",
IF(Hospital[[#This Row],[Age]]&lt;=19,"Teen",
IF(Hospital[[#This Row],[Age]]&lt;=35,"Young Adult",
IF(Hospital[[#This Row],[Age]]&lt;=59,"Adult",
"Senior"))))</f>
        <v>Child</v>
      </c>
      <c r="D912" t="s">
        <v>0</v>
      </c>
      <c r="E912" s="1">
        <v>45257</v>
      </c>
      <c r="F912" s="1" t="str">
        <f t="shared" si="28"/>
        <v>November</v>
      </c>
      <c r="G912" t="s">
        <v>11</v>
      </c>
      <c r="H912" t="s">
        <v>2</v>
      </c>
      <c r="I912" t="s">
        <v>3</v>
      </c>
      <c r="J912" t="str">
        <f t="shared" si="29"/>
        <v>Error: Should be None</v>
      </c>
      <c r="K912">
        <v>6</v>
      </c>
      <c r="L912" s="2">
        <v>142.47999999999999</v>
      </c>
      <c r="M912" t="s">
        <v>8</v>
      </c>
    </row>
    <row r="913" spans="1:13" x14ac:dyDescent="0.35">
      <c r="A913">
        <v>912</v>
      </c>
      <c r="B913">
        <v>3</v>
      </c>
      <c r="C913" t="str">
        <f>IF(Hospital[[#This Row],[Age]]&lt;=12,"Child",
IF(Hospital[[#This Row],[Age]]&lt;=19,"Teen",
IF(Hospital[[#This Row],[Age]]&lt;=35,"Young Adult",
IF(Hospital[[#This Row],[Age]]&lt;=59,"Adult",
"Senior"))))</f>
        <v>Child</v>
      </c>
      <c r="D913" t="s">
        <v>5</v>
      </c>
      <c r="E913" s="1">
        <v>45335</v>
      </c>
      <c r="F913" s="1" t="str">
        <f t="shared" si="28"/>
        <v>February</v>
      </c>
      <c r="G913" t="s">
        <v>1</v>
      </c>
      <c r="H913" t="s">
        <v>2</v>
      </c>
      <c r="I913" t="s">
        <v>3</v>
      </c>
      <c r="J913" t="str">
        <f t="shared" si="29"/>
        <v>Error: Should be None</v>
      </c>
      <c r="K913">
        <v>6</v>
      </c>
      <c r="L913" s="2">
        <v>394.16</v>
      </c>
      <c r="M913" t="s">
        <v>16</v>
      </c>
    </row>
    <row r="914" spans="1:13" x14ac:dyDescent="0.35">
      <c r="A914">
        <v>913</v>
      </c>
      <c r="B914">
        <v>20</v>
      </c>
      <c r="C91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14" t="s">
        <v>5</v>
      </c>
      <c r="E914" s="1">
        <v>45589</v>
      </c>
      <c r="F914" s="1" t="str">
        <f t="shared" si="28"/>
        <v>October</v>
      </c>
      <c r="G914" t="s">
        <v>19</v>
      </c>
      <c r="H914" t="s">
        <v>7</v>
      </c>
      <c r="I914" t="s">
        <v>3</v>
      </c>
      <c r="J914" t="str">
        <f t="shared" si="29"/>
        <v>Error: Should be None</v>
      </c>
      <c r="K914">
        <v>7</v>
      </c>
      <c r="L914" s="2">
        <v>404.53</v>
      </c>
      <c r="M914" t="s">
        <v>16</v>
      </c>
    </row>
    <row r="915" spans="1:13" x14ac:dyDescent="0.35">
      <c r="A915">
        <v>914</v>
      </c>
      <c r="B915">
        <v>17</v>
      </c>
      <c r="C915" t="str">
        <f>IF(Hospital[[#This Row],[Age]]&lt;=12,"Child",
IF(Hospital[[#This Row],[Age]]&lt;=19,"Teen",
IF(Hospital[[#This Row],[Age]]&lt;=35,"Young Adult",
IF(Hospital[[#This Row],[Age]]&lt;=59,"Adult",
"Senior"))))</f>
        <v>Teen</v>
      </c>
      <c r="D915" t="s">
        <v>0</v>
      </c>
      <c r="E915" s="1">
        <v>45628</v>
      </c>
      <c r="F915" s="1" t="str">
        <f t="shared" si="28"/>
        <v>December</v>
      </c>
      <c r="G915" t="s">
        <v>11</v>
      </c>
      <c r="H915" t="s">
        <v>9</v>
      </c>
      <c r="I915" t="s">
        <v>3</v>
      </c>
      <c r="J915" t="str">
        <f t="shared" si="29"/>
        <v>Error: Should be None</v>
      </c>
      <c r="K915">
        <v>5</v>
      </c>
      <c r="L915" s="2">
        <v>266.07</v>
      </c>
      <c r="M915" t="s">
        <v>10</v>
      </c>
    </row>
    <row r="916" spans="1:13" x14ac:dyDescent="0.35">
      <c r="A916">
        <v>915</v>
      </c>
      <c r="B916">
        <v>61</v>
      </c>
      <c r="C916" t="str">
        <f>IF(Hospital[[#This Row],[Age]]&lt;=12,"Child",
IF(Hospital[[#This Row],[Age]]&lt;=19,"Teen",
IF(Hospital[[#This Row],[Age]]&lt;=35,"Young Adult",
IF(Hospital[[#This Row],[Age]]&lt;=59,"Adult",
"Senior"))))</f>
        <v>Senior</v>
      </c>
      <c r="D916" t="s">
        <v>0</v>
      </c>
      <c r="E916" s="1">
        <v>45383</v>
      </c>
      <c r="F916" s="1" t="str">
        <f t="shared" si="28"/>
        <v>April</v>
      </c>
      <c r="G916" t="s">
        <v>6</v>
      </c>
      <c r="H916" t="s">
        <v>12</v>
      </c>
      <c r="I916" t="s">
        <v>15</v>
      </c>
      <c r="J916" t="str">
        <f t="shared" si="29"/>
        <v>Error: Should be None</v>
      </c>
      <c r="K916">
        <v>6</v>
      </c>
      <c r="L916" s="2">
        <v>409.28</v>
      </c>
      <c r="M916" t="s">
        <v>8</v>
      </c>
    </row>
    <row r="917" spans="1:13" x14ac:dyDescent="0.35">
      <c r="A917">
        <v>916</v>
      </c>
      <c r="B917">
        <v>55</v>
      </c>
      <c r="C917" t="str">
        <f>IF(Hospital[[#This Row],[Age]]&lt;=12,"Child",
IF(Hospital[[#This Row],[Age]]&lt;=19,"Teen",
IF(Hospital[[#This Row],[Age]]&lt;=35,"Young Adult",
IF(Hospital[[#This Row],[Age]]&lt;=59,"Adult",
"Senior"))))</f>
        <v>Adult</v>
      </c>
      <c r="D917" t="s">
        <v>5</v>
      </c>
      <c r="E917" s="1">
        <v>45371</v>
      </c>
      <c r="F917" s="1" t="str">
        <f t="shared" si="28"/>
        <v>March</v>
      </c>
      <c r="G917" t="s">
        <v>11</v>
      </c>
      <c r="H917" t="s">
        <v>7</v>
      </c>
      <c r="I917" t="s">
        <v>3</v>
      </c>
      <c r="J917" t="str">
        <f t="shared" si="29"/>
        <v>Error: Should be None</v>
      </c>
      <c r="K917">
        <v>8</v>
      </c>
      <c r="L917" s="2">
        <v>184.04</v>
      </c>
      <c r="M917" t="s">
        <v>10</v>
      </c>
    </row>
    <row r="918" spans="1:13" x14ac:dyDescent="0.35">
      <c r="A918">
        <v>917</v>
      </c>
      <c r="B918">
        <v>83</v>
      </c>
      <c r="C918" t="str">
        <f>IF(Hospital[[#This Row],[Age]]&lt;=12,"Child",
IF(Hospital[[#This Row],[Age]]&lt;=19,"Teen",
IF(Hospital[[#This Row],[Age]]&lt;=35,"Young Adult",
IF(Hospital[[#This Row],[Age]]&lt;=59,"Adult",
"Senior"))))</f>
        <v>Senior</v>
      </c>
      <c r="D918" t="s">
        <v>5</v>
      </c>
      <c r="E918" s="1">
        <v>45619</v>
      </c>
      <c r="F918" s="1" t="str">
        <f t="shared" si="28"/>
        <v>November</v>
      </c>
      <c r="G918" t="s">
        <v>6</v>
      </c>
      <c r="H918" t="s">
        <v>17</v>
      </c>
      <c r="I918" t="s">
        <v>3</v>
      </c>
      <c r="J918" t="str">
        <f t="shared" si="29"/>
        <v>Error: Should be None</v>
      </c>
      <c r="K918">
        <v>10</v>
      </c>
      <c r="L918" s="2">
        <v>330.67</v>
      </c>
      <c r="M918" t="s">
        <v>4</v>
      </c>
    </row>
    <row r="919" spans="1:13" x14ac:dyDescent="0.35">
      <c r="A919">
        <v>918</v>
      </c>
      <c r="B919">
        <v>56</v>
      </c>
      <c r="C919" t="str">
        <f>IF(Hospital[[#This Row],[Age]]&lt;=12,"Child",
IF(Hospital[[#This Row],[Age]]&lt;=19,"Teen",
IF(Hospital[[#This Row],[Age]]&lt;=35,"Young Adult",
IF(Hospital[[#This Row],[Age]]&lt;=59,"Adult",
"Senior"))))</f>
        <v>Adult</v>
      </c>
      <c r="D919" t="s">
        <v>5</v>
      </c>
      <c r="E919" s="1">
        <v>45224</v>
      </c>
      <c r="F919" s="1" t="str">
        <f t="shared" si="28"/>
        <v>October</v>
      </c>
      <c r="G919" t="s">
        <v>6</v>
      </c>
      <c r="H919" t="s">
        <v>12</v>
      </c>
      <c r="I919" t="s">
        <v>18</v>
      </c>
      <c r="J919" t="str">
        <f t="shared" si="29"/>
        <v>Error: Should be None</v>
      </c>
      <c r="K919">
        <v>2</v>
      </c>
      <c r="L919" s="2">
        <v>492.41</v>
      </c>
      <c r="M919" t="s">
        <v>16</v>
      </c>
    </row>
    <row r="920" spans="1:13" x14ac:dyDescent="0.35">
      <c r="A920">
        <v>919</v>
      </c>
      <c r="B920">
        <v>55</v>
      </c>
      <c r="C920" t="str">
        <f>IF(Hospital[[#This Row],[Age]]&lt;=12,"Child",
IF(Hospital[[#This Row],[Age]]&lt;=19,"Teen",
IF(Hospital[[#This Row],[Age]]&lt;=35,"Young Adult",
IF(Hospital[[#This Row],[Age]]&lt;=59,"Adult",
"Senior"))))</f>
        <v>Adult</v>
      </c>
      <c r="D920" t="s">
        <v>0</v>
      </c>
      <c r="E920" s="1">
        <v>45181</v>
      </c>
      <c r="F920" s="1" t="str">
        <f t="shared" si="28"/>
        <v>September</v>
      </c>
      <c r="G920" t="s">
        <v>11</v>
      </c>
      <c r="H920" t="s">
        <v>9</v>
      </c>
      <c r="I920" t="s">
        <v>3</v>
      </c>
      <c r="J920" t="str">
        <f t="shared" si="29"/>
        <v>Error: Should be None</v>
      </c>
      <c r="K920">
        <v>8</v>
      </c>
      <c r="L920" s="2">
        <v>56.74</v>
      </c>
      <c r="M920" t="s">
        <v>4</v>
      </c>
    </row>
    <row r="921" spans="1:13" x14ac:dyDescent="0.35">
      <c r="A921">
        <v>920</v>
      </c>
      <c r="B921">
        <v>66</v>
      </c>
      <c r="C921" t="str">
        <f>IF(Hospital[[#This Row],[Age]]&lt;=12,"Child",
IF(Hospital[[#This Row],[Age]]&lt;=19,"Teen",
IF(Hospital[[#This Row],[Age]]&lt;=35,"Young Adult",
IF(Hospital[[#This Row],[Age]]&lt;=59,"Adult",
"Senior"))))</f>
        <v>Senior</v>
      </c>
      <c r="D921" t="s">
        <v>0</v>
      </c>
      <c r="E921" s="1">
        <v>45452</v>
      </c>
      <c r="F921" s="1" t="str">
        <f t="shared" si="28"/>
        <v>June</v>
      </c>
      <c r="G921" t="s">
        <v>6</v>
      </c>
      <c r="H921" t="s">
        <v>2</v>
      </c>
      <c r="I921" t="s">
        <v>3</v>
      </c>
      <c r="J921" t="str">
        <f t="shared" si="29"/>
        <v>Error: Should be None</v>
      </c>
      <c r="K921">
        <v>1</v>
      </c>
      <c r="L921" s="2">
        <v>243.04</v>
      </c>
      <c r="M921" t="s">
        <v>16</v>
      </c>
    </row>
    <row r="922" spans="1:13" x14ac:dyDescent="0.35">
      <c r="A922">
        <v>921</v>
      </c>
      <c r="B922">
        <v>75</v>
      </c>
      <c r="C922" t="str">
        <f>IF(Hospital[[#This Row],[Age]]&lt;=12,"Child",
IF(Hospital[[#This Row],[Age]]&lt;=19,"Teen",
IF(Hospital[[#This Row],[Age]]&lt;=35,"Young Adult",
IF(Hospital[[#This Row],[Age]]&lt;=59,"Adult",
"Senior"))))</f>
        <v>Senior</v>
      </c>
      <c r="D922" t="s">
        <v>5</v>
      </c>
      <c r="E922" s="1">
        <v>45290</v>
      </c>
      <c r="F922" s="1" t="str">
        <f t="shared" si="28"/>
        <v>December</v>
      </c>
      <c r="G922" t="s">
        <v>11</v>
      </c>
      <c r="H922" t="s">
        <v>14</v>
      </c>
      <c r="I922" t="s">
        <v>15</v>
      </c>
      <c r="J922" t="str">
        <f t="shared" si="29"/>
        <v>Error: Should be None</v>
      </c>
      <c r="K922">
        <v>10</v>
      </c>
      <c r="L922" s="2">
        <v>242.18</v>
      </c>
      <c r="M922" t="s">
        <v>8</v>
      </c>
    </row>
    <row r="923" spans="1:13" x14ac:dyDescent="0.35">
      <c r="A923">
        <v>922</v>
      </c>
      <c r="B923">
        <v>11</v>
      </c>
      <c r="C923" t="str">
        <f>IF(Hospital[[#This Row],[Age]]&lt;=12,"Child",
IF(Hospital[[#This Row],[Age]]&lt;=19,"Teen",
IF(Hospital[[#This Row],[Age]]&lt;=35,"Young Adult",
IF(Hospital[[#This Row],[Age]]&lt;=59,"Adult",
"Senior"))))</f>
        <v>Child</v>
      </c>
      <c r="D923" t="s">
        <v>0</v>
      </c>
      <c r="E923" s="1">
        <v>45329</v>
      </c>
      <c r="F923" s="1" t="str">
        <f t="shared" si="28"/>
        <v>February</v>
      </c>
      <c r="G923" t="s">
        <v>19</v>
      </c>
      <c r="H923" t="s">
        <v>2</v>
      </c>
      <c r="I923" t="s">
        <v>3</v>
      </c>
      <c r="J923" t="str">
        <f t="shared" si="29"/>
        <v>Error: Should be None</v>
      </c>
      <c r="K923">
        <v>5</v>
      </c>
      <c r="L923" s="2">
        <v>301.86</v>
      </c>
      <c r="M923" t="s">
        <v>10</v>
      </c>
    </row>
    <row r="924" spans="1:13" x14ac:dyDescent="0.35">
      <c r="A924">
        <v>923</v>
      </c>
      <c r="B924">
        <v>80</v>
      </c>
      <c r="C924" t="str">
        <f>IF(Hospital[[#This Row],[Age]]&lt;=12,"Child",
IF(Hospital[[#This Row],[Age]]&lt;=19,"Teen",
IF(Hospital[[#This Row],[Age]]&lt;=35,"Young Adult",
IF(Hospital[[#This Row],[Age]]&lt;=59,"Adult",
"Senior"))))</f>
        <v>Senior</v>
      </c>
      <c r="D924" t="s">
        <v>0</v>
      </c>
      <c r="E924" s="1">
        <v>45613</v>
      </c>
      <c r="F924" s="1" t="str">
        <f t="shared" si="28"/>
        <v>November</v>
      </c>
      <c r="G924" t="s">
        <v>19</v>
      </c>
      <c r="H924" t="s">
        <v>12</v>
      </c>
      <c r="I924" t="s">
        <v>13</v>
      </c>
      <c r="J924" t="str">
        <f t="shared" si="29"/>
        <v>Error: Should be None</v>
      </c>
      <c r="K924">
        <v>3</v>
      </c>
      <c r="L924" s="2">
        <v>108.84</v>
      </c>
      <c r="M924" t="s">
        <v>16</v>
      </c>
    </row>
    <row r="925" spans="1:13" x14ac:dyDescent="0.35">
      <c r="A925">
        <v>924</v>
      </c>
      <c r="B925">
        <v>56</v>
      </c>
      <c r="C925" t="str">
        <f>IF(Hospital[[#This Row],[Age]]&lt;=12,"Child",
IF(Hospital[[#This Row],[Age]]&lt;=19,"Teen",
IF(Hospital[[#This Row],[Age]]&lt;=35,"Young Adult",
IF(Hospital[[#This Row],[Age]]&lt;=59,"Adult",
"Senior"))))</f>
        <v>Adult</v>
      </c>
      <c r="D925" t="s">
        <v>5</v>
      </c>
      <c r="E925" s="1">
        <v>45616</v>
      </c>
      <c r="F925" s="1" t="str">
        <f t="shared" si="28"/>
        <v>November</v>
      </c>
      <c r="G925" t="s">
        <v>11</v>
      </c>
      <c r="H925" t="s">
        <v>2</v>
      </c>
      <c r="I925" t="s">
        <v>3</v>
      </c>
      <c r="J925" t="str">
        <f t="shared" si="29"/>
        <v>Error: Should be None</v>
      </c>
      <c r="K925">
        <v>6</v>
      </c>
      <c r="L925" s="2">
        <v>76.010000000000005</v>
      </c>
      <c r="M925" t="s">
        <v>8</v>
      </c>
    </row>
    <row r="926" spans="1:13" x14ac:dyDescent="0.35">
      <c r="A926">
        <v>925</v>
      </c>
      <c r="B926">
        <v>59</v>
      </c>
      <c r="C926" t="str">
        <f>IF(Hospital[[#This Row],[Age]]&lt;=12,"Child",
IF(Hospital[[#This Row],[Age]]&lt;=19,"Teen",
IF(Hospital[[#This Row],[Age]]&lt;=35,"Young Adult",
IF(Hospital[[#This Row],[Age]]&lt;=59,"Adult",
"Senior"))))</f>
        <v>Adult</v>
      </c>
      <c r="D926" t="s">
        <v>0</v>
      </c>
      <c r="E926" s="1">
        <v>45598</v>
      </c>
      <c r="F926" s="1" t="str">
        <f t="shared" si="28"/>
        <v>November</v>
      </c>
      <c r="G926" t="s">
        <v>6</v>
      </c>
      <c r="H926" t="s">
        <v>12</v>
      </c>
      <c r="I926" t="s">
        <v>18</v>
      </c>
      <c r="J926" t="str">
        <f t="shared" si="29"/>
        <v>Error: Should be None</v>
      </c>
      <c r="K926">
        <v>9</v>
      </c>
      <c r="L926" s="2">
        <v>410.3</v>
      </c>
      <c r="M926" t="s">
        <v>16</v>
      </c>
    </row>
    <row r="927" spans="1:13" x14ac:dyDescent="0.35">
      <c r="A927">
        <v>926</v>
      </c>
      <c r="B927">
        <v>51</v>
      </c>
      <c r="C927" t="str">
        <f>IF(Hospital[[#This Row],[Age]]&lt;=12,"Child",
IF(Hospital[[#This Row],[Age]]&lt;=19,"Teen",
IF(Hospital[[#This Row],[Age]]&lt;=35,"Young Adult",
IF(Hospital[[#This Row],[Age]]&lt;=59,"Adult",
"Senior"))))</f>
        <v>Adult</v>
      </c>
      <c r="D927" t="s">
        <v>0</v>
      </c>
      <c r="E927" s="1">
        <v>45634</v>
      </c>
      <c r="F927" s="1" t="str">
        <f t="shared" si="28"/>
        <v>December</v>
      </c>
      <c r="G927" t="s">
        <v>11</v>
      </c>
      <c r="H927" t="s">
        <v>7</v>
      </c>
      <c r="I927" t="s">
        <v>3</v>
      </c>
      <c r="J927" t="str">
        <f t="shared" si="29"/>
        <v>Error: Should be None</v>
      </c>
      <c r="K927">
        <v>2</v>
      </c>
      <c r="L927" s="2">
        <v>84.85</v>
      </c>
      <c r="M927" t="s">
        <v>8</v>
      </c>
    </row>
    <row r="928" spans="1:13" x14ac:dyDescent="0.35">
      <c r="A928">
        <v>927</v>
      </c>
      <c r="B928">
        <v>25</v>
      </c>
      <c r="C928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28" t="s">
        <v>5</v>
      </c>
      <c r="E928" s="1">
        <v>45041</v>
      </c>
      <c r="F928" s="1" t="str">
        <f t="shared" si="28"/>
        <v>April</v>
      </c>
      <c r="G928" t="s">
        <v>1</v>
      </c>
      <c r="H928" t="s">
        <v>2</v>
      </c>
      <c r="I928" t="s">
        <v>3</v>
      </c>
      <c r="J928" t="str">
        <f t="shared" si="29"/>
        <v>Error: Should be None</v>
      </c>
      <c r="K928">
        <v>7</v>
      </c>
      <c r="L928" s="2">
        <v>331.34</v>
      </c>
      <c r="M928" t="s">
        <v>8</v>
      </c>
    </row>
    <row r="929" spans="1:13" x14ac:dyDescent="0.35">
      <c r="A929">
        <v>928</v>
      </c>
      <c r="B929">
        <v>69</v>
      </c>
      <c r="C929" t="str">
        <f>IF(Hospital[[#This Row],[Age]]&lt;=12,"Child",
IF(Hospital[[#This Row],[Age]]&lt;=19,"Teen",
IF(Hospital[[#This Row],[Age]]&lt;=35,"Young Adult",
IF(Hospital[[#This Row],[Age]]&lt;=59,"Adult",
"Senior"))))</f>
        <v>Senior</v>
      </c>
      <c r="D929" t="s">
        <v>5</v>
      </c>
      <c r="E929" s="1">
        <v>45373</v>
      </c>
      <c r="F929" s="1" t="str">
        <f t="shared" si="28"/>
        <v>March</v>
      </c>
      <c r="G929" t="s">
        <v>11</v>
      </c>
      <c r="H929" t="s">
        <v>7</v>
      </c>
      <c r="I929" t="s">
        <v>3</v>
      </c>
      <c r="J929" t="str">
        <f t="shared" si="29"/>
        <v>Error: Should be None</v>
      </c>
      <c r="K929">
        <v>4</v>
      </c>
      <c r="L929" s="2">
        <v>389.47</v>
      </c>
      <c r="M929" t="s">
        <v>8</v>
      </c>
    </row>
    <row r="930" spans="1:13" x14ac:dyDescent="0.35">
      <c r="A930">
        <v>929</v>
      </c>
      <c r="B930">
        <v>3</v>
      </c>
      <c r="C930" t="str">
        <f>IF(Hospital[[#This Row],[Age]]&lt;=12,"Child",
IF(Hospital[[#This Row],[Age]]&lt;=19,"Teen",
IF(Hospital[[#This Row],[Age]]&lt;=35,"Young Adult",
IF(Hospital[[#This Row],[Age]]&lt;=59,"Adult",
"Senior"))))</f>
        <v>Child</v>
      </c>
      <c r="D930" t="s">
        <v>5</v>
      </c>
      <c r="E930" s="1">
        <v>45412</v>
      </c>
      <c r="F930" s="1" t="str">
        <f t="shared" si="28"/>
        <v>April</v>
      </c>
      <c r="G930" t="s">
        <v>1</v>
      </c>
      <c r="H930" t="s">
        <v>12</v>
      </c>
      <c r="I930" t="s">
        <v>13</v>
      </c>
      <c r="J930" t="str">
        <f t="shared" si="29"/>
        <v>Error: Should be None</v>
      </c>
      <c r="K930">
        <v>7</v>
      </c>
      <c r="L930" s="2">
        <v>482.66</v>
      </c>
      <c r="M930" t="s">
        <v>10</v>
      </c>
    </row>
    <row r="931" spans="1:13" x14ac:dyDescent="0.35">
      <c r="A931">
        <v>930</v>
      </c>
      <c r="B931">
        <v>75</v>
      </c>
      <c r="C931" t="str">
        <f>IF(Hospital[[#This Row],[Age]]&lt;=12,"Child",
IF(Hospital[[#This Row],[Age]]&lt;=19,"Teen",
IF(Hospital[[#This Row],[Age]]&lt;=35,"Young Adult",
IF(Hospital[[#This Row],[Age]]&lt;=59,"Adult",
"Senior"))))</f>
        <v>Senior</v>
      </c>
      <c r="D931" t="s">
        <v>5</v>
      </c>
      <c r="E931" s="1">
        <v>44947</v>
      </c>
      <c r="F931" s="1" t="str">
        <f t="shared" si="28"/>
        <v>January</v>
      </c>
      <c r="G931" t="s">
        <v>1</v>
      </c>
      <c r="H931" t="s">
        <v>12</v>
      </c>
      <c r="I931" t="s">
        <v>18</v>
      </c>
      <c r="J931" t="str">
        <f t="shared" si="29"/>
        <v>Error: Should be None</v>
      </c>
      <c r="K931">
        <v>9</v>
      </c>
      <c r="L931" s="2">
        <v>418.14</v>
      </c>
      <c r="M931" t="s">
        <v>10</v>
      </c>
    </row>
    <row r="932" spans="1:13" x14ac:dyDescent="0.35">
      <c r="A932">
        <v>931</v>
      </c>
      <c r="B932">
        <v>2</v>
      </c>
      <c r="C932" t="str">
        <f>IF(Hospital[[#This Row],[Age]]&lt;=12,"Child",
IF(Hospital[[#This Row],[Age]]&lt;=19,"Teen",
IF(Hospital[[#This Row],[Age]]&lt;=35,"Young Adult",
IF(Hospital[[#This Row],[Age]]&lt;=59,"Adult",
"Senior"))))</f>
        <v>Child</v>
      </c>
      <c r="D932" t="s">
        <v>5</v>
      </c>
      <c r="E932" s="1">
        <v>44979</v>
      </c>
      <c r="F932" s="1" t="str">
        <f t="shared" si="28"/>
        <v>February</v>
      </c>
      <c r="G932" t="s">
        <v>6</v>
      </c>
      <c r="H932" t="s">
        <v>14</v>
      </c>
      <c r="I932" t="s">
        <v>20</v>
      </c>
      <c r="J932" t="str">
        <f t="shared" si="29"/>
        <v>Error: Should be None</v>
      </c>
      <c r="K932">
        <v>7</v>
      </c>
      <c r="L932" s="2">
        <v>373.8</v>
      </c>
      <c r="M932" t="s">
        <v>16</v>
      </c>
    </row>
    <row r="933" spans="1:13" x14ac:dyDescent="0.35">
      <c r="A933">
        <v>932</v>
      </c>
      <c r="B933">
        <v>52</v>
      </c>
      <c r="C933" t="str">
        <f>IF(Hospital[[#This Row],[Age]]&lt;=12,"Child",
IF(Hospital[[#This Row],[Age]]&lt;=19,"Teen",
IF(Hospital[[#This Row],[Age]]&lt;=35,"Young Adult",
IF(Hospital[[#This Row],[Age]]&lt;=59,"Adult",
"Senior"))))</f>
        <v>Adult</v>
      </c>
      <c r="D933" t="s">
        <v>0</v>
      </c>
      <c r="E933" s="1">
        <v>44964</v>
      </c>
      <c r="F933" s="1" t="str">
        <f t="shared" si="28"/>
        <v>February</v>
      </c>
      <c r="G933" t="s">
        <v>6</v>
      </c>
      <c r="H933" t="s">
        <v>12</v>
      </c>
      <c r="I933" t="s">
        <v>13</v>
      </c>
      <c r="J933" t="str">
        <f t="shared" si="29"/>
        <v>Error: Should be None</v>
      </c>
      <c r="K933">
        <v>0</v>
      </c>
      <c r="L933" s="2">
        <v>273.58999999999997</v>
      </c>
      <c r="M933" t="s">
        <v>10</v>
      </c>
    </row>
    <row r="934" spans="1:13" x14ac:dyDescent="0.35">
      <c r="A934">
        <v>933</v>
      </c>
      <c r="B934">
        <v>71</v>
      </c>
      <c r="C934" t="str">
        <f>IF(Hospital[[#This Row],[Age]]&lt;=12,"Child",
IF(Hospital[[#This Row],[Age]]&lt;=19,"Teen",
IF(Hospital[[#This Row],[Age]]&lt;=35,"Young Adult",
IF(Hospital[[#This Row],[Age]]&lt;=59,"Adult",
"Senior"))))</f>
        <v>Senior</v>
      </c>
      <c r="D934" t="s">
        <v>5</v>
      </c>
      <c r="E934" s="1">
        <v>45517</v>
      </c>
      <c r="F934" s="1" t="str">
        <f t="shared" si="28"/>
        <v>August</v>
      </c>
      <c r="G934" t="s">
        <v>19</v>
      </c>
      <c r="H934" t="s">
        <v>14</v>
      </c>
      <c r="I934" t="s">
        <v>20</v>
      </c>
      <c r="J934" t="str">
        <f t="shared" si="29"/>
        <v>Error: Should be None</v>
      </c>
      <c r="K934">
        <v>7</v>
      </c>
      <c r="L934" s="2">
        <v>76.13</v>
      </c>
      <c r="M934" t="s">
        <v>16</v>
      </c>
    </row>
    <row r="935" spans="1:13" x14ac:dyDescent="0.35">
      <c r="A935">
        <v>934</v>
      </c>
      <c r="B935">
        <v>56</v>
      </c>
      <c r="C935" t="str">
        <f>IF(Hospital[[#This Row],[Age]]&lt;=12,"Child",
IF(Hospital[[#This Row],[Age]]&lt;=19,"Teen",
IF(Hospital[[#This Row],[Age]]&lt;=35,"Young Adult",
IF(Hospital[[#This Row],[Age]]&lt;=59,"Adult",
"Senior"))))</f>
        <v>Adult</v>
      </c>
      <c r="D935" t="s">
        <v>5</v>
      </c>
      <c r="E935" s="1">
        <v>45386</v>
      </c>
      <c r="F935" s="1" t="str">
        <f t="shared" si="28"/>
        <v>April</v>
      </c>
      <c r="G935" t="s">
        <v>1</v>
      </c>
      <c r="H935" t="s">
        <v>7</v>
      </c>
      <c r="I935" t="s">
        <v>3</v>
      </c>
      <c r="J935" t="str">
        <f t="shared" si="29"/>
        <v>Error: Should be None</v>
      </c>
      <c r="K935">
        <v>4</v>
      </c>
      <c r="L935" s="2">
        <v>368.58</v>
      </c>
      <c r="M935" t="s">
        <v>10</v>
      </c>
    </row>
    <row r="936" spans="1:13" x14ac:dyDescent="0.35">
      <c r="A936">
        <v>935</v>
      </c>
      <c r="B936">
        <v>30</v>
      </c>
      <c r="C93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36" t="s">
        <v>5</v>
      </c>
      <c r="E936" s="1">
        <v>45279</v>
      </c>
      <c r="F936" s="1" t="str">
        <f t="shared" si="28"/>
        <v>December</v>
      </c>
      <c r="G936" t="s">
        <v>19</v>
      </c>
      <c r="H936" t="s">
        <v>12</v>
      </c>
      <c r="I936" t="s">
        <v>3</v>
      </c>
      <c r="J936" t="str">
        <f t="shared" si="29"/>
        <v>Error: Should be None</v>
      </c>
      <c r="K936">
        <v>10</v>
      </c>
      <c r="L936" s="2">
        <v>244.86</v>
      </c>
      <c r="M936" t="s">
        <v>16</v>
      </c>
    </row>
    <row r="937" spans="1:13" x14ac:dyDescent="0.35">
      <c r="A937">
        <v>936</v>
      </c>
      <c r="B937">
        <v>54</v>
      </c>
      <c r="C937" t="str">
        <f>IF(Hospital[[#This Row],[Age]]&lt;=12,"Child",
IF(Hospital[[#This Row],[Age]]&lt;=19,"Teen",
IF(Hospital[[#This Row],[Age]]&lt;=35,"Young Adult",
IF(Hospital[[#This Row],[Age]]&lt;=59,"Adult",
"Senior"))))</f>
        <v>Adult</v>
      </c>
      <c r="D937" t="s">
        <v>0</v>
      </c>
      <c r="E937" s="1">
        <v>45655</v>
      </c>
      <c r="F937" s="1" t="str">
        <f t="shared" si="28"/>
        <v>December</v>
      </c>
      <c r="G937" t="s">
        <v>6</v>
      </c>
      <c r="H937" t="s">
        <v>12</v>
      </c>
      <c r="I937" t="s">
        <v>13</v>
      </c>
      <c r="J937" t="str">
        <f t="shared" si="29"/>
        <v>Error: Should be None</v>
      </c>
      <c r="K937">
        <v>9</v>
      </c>
      <c r="L937" s="2">
        <v>119.46</v>
      </c>
      <c r="M937" t="s">
        <v>4</v>
      </c>
    </row>
    <row r="938" spans="1:13" x14ac:dyDescent="0.35">
      <c r="A938">
        <v>937</v>
      </c>
      <c r="B938">
        <v>17</v>
      </c>
      <c r="C938" t="str">
        <f>IF(Hospital[[#This Row],[Age]]&lt;=12,"Child",
IF(Hospital[[#This Row],[Age]]&lt;=19,"Teen",
IF(Hospital[[#This Row],[Age]]&lt;=35,"Young Adult",
IF(Hospital[[#This Row],[Age]]&lt;=59,"Adult",
"Senior"))))</f>
        <v>Teen</v>
      </c>
      <c r="D938" t="s">
        <v>5</v>
      </c>
      <c r="E938" s="1">
        <v>45610</v>
      </c>
      <c r="F938" s="1" t="str">
        <f t="shared" si="28"/>
        <v>November</v>
      </c>
      <c r="G938" t="s">
        <v>1</v>
      </c>
      <c r="H938" t="s">
        <v>12</v>
      </c>
      <c r="I938" t="s">
        <v>13</v>
      </c>
      <c r="J938" t="str">
        <f t="shared" si="29"/>
        <v>Error: Should be None</v>
      </c>
      <c r="K938">
        <v>9</v>
      </c>
      <c r="L938" s="2">
        <v>256.25</v>
      </c>
      <c r="M938" t="s">
        <v>10</v>
      </c>
    </row>
    <row r="939" spans="1:13" x14ac:dyDescent="0.35">
      <c r="A939">
        <v>938</v>
      </c>
      <c r="B939">
        <v>31</v>
      </c>
      <c r="C93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39" t="s">
        <v>5</v>
      </c>
      <c r="E939" s="1">
        <v>45432</v>
      </c>
      <c r="F939" s="1" t="str">
        <f t="shared" si="28"/>
        <v>May</v>
      </c>
      <c r="G939" t="s">
        <v>11</v>
      </c>
      <c r="H939" t="s">
        <v>14</v>
      </c>
      <c r="I939" t="s">
        <v>15</v>
      </c>
      <c r="J939" t="str">
        <f t="shared" si="29"/>
        <v>Error: Should be None</v>
      </c>
      <c r="K939">
        <v>5</v>
      </c>
      <c r="L939" s="2">
        <v>442.83</v>
      </c>
      <c r="M939" t="s">
        <v>16</v>
      </c>
    </row>
    <row r="940" spans="1:13" x14ac:dyDescent="0.35">
      <c r="A940">
        <v>939</v>
      </c>
      <c r="B940">
        <v>23</v>
      </c>
      <c r="C94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40" t="s">
        <v>5</v>
      </c>
      <c r="E940" s="1">
        <v>45620</v>
      </c>
      <c r="F940" s="1" t="str">
        <f t="shared" si="28"/>
        <v>November</v>
      </c>
      <c r="G940" t="s">
        <v>11</v>
      </c>
      <c r="H940" t="s">
        <v>17</v>
      </c>
      <c r="I940" t="s">
        <v>18</v>
      </c>
      <c r="J940" t="str">
        <f t="shared" si="29"/>
        <v>Error: Should be None</v>
      </c>
      <c r="K940">
        <v>6</v>
      </c>
      <c r="L940" s="2">
        <v>74.709999999999994</v>
      </c>
      <c r="M940" t="s">
        <v>8</v>
      </c>
    </row>
    <row r="941" spans="1:13" x14ac:dyDescent="0.35">
      <c r="A941">
        <v>940</v>
      </c>
      <c r="B941">
        <v>29</v>
      </c>
      <c r="C941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41" t="s">
        <v>0</v>
      </c>
      <c r="E941" s="1">
        <v>45050</v>
      </c>
      <c r="F941" s="1" t="str">
        <f t="shared" si="28"/>
        <v>May</v>
      </c>
      <c r="G941" t="s">
        <v>19</v>
      </c>
      <c r="H941" t="s">
        <v>9</v>
      </c>
      <c r="I941" t="s">
        <v>3</v>
      </c>
      <c r="J941" t="str">
        <f t="shared" si="29"/>
        <v>Error: Should be None</v>
      </c>
      <c r="K941">
        <v>5</v>
      </c>
      <c r="L941" s="2">
        <v>396.75</v>
      </c>
      <c r="M941" t="s">
        <v>4</v>
      </c>
    </row>
    <row r="942" spans="1:13" x14ac:dyDescent="0.35">
      <c r="A942">
        <v>941</v>
      </c>
      <c r="B942">
        <v>20</v>
      </c>
      <c r="C942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42" t="s">
        <v>5</v>
      </c>
      <c r="E942" s="1">
        <v>45497</v>
      </c>
      <c r="F942" s="1" t="str">
        <f t="shared" si="28"/>
        <v>July</v>
      </c>
      <c r="G942" t="s">
        <v>11</v>
      </c>
      <c r="H942" t="s">
        <v>14</v>
      </c>
      <c r="I942" t="s">
        <v>20</v>
      </c>
      <c r="J942" t="str">
        <f t="shared" si="29"/>
        <v>Error: Should be None</v>
      </c>
      <c r="K942">
        <v>7</v>
      </c>
      <c r="L942" s="2">
        <v>482.07</v>
      </c>
      <c r="M942" t="s">
        <v>4</v>
      </c>
    </row>
    <row r="943" spans="1:13" x14ac:dyDescent="0.35">
      <c r="A943">
        <v>942</v>
      </c>
      <c r="B943">
        <v>79</v>
      </c>
      <c r="C943" t="str">
        <f>IF(Hospital[[#This Row],[Age]]&lt;=12,"Child",
IF(Hospital[[#This Row],[Age]]&lt;=19,"Teen",
IF(Hospital[[#This Row],[Age]]&lt;=35,"Young Adult",
IF(Hospital[[#This Row],[Age]]&lt;=59,"Adult",
"Senior"))))</f>
        <v>Senior</v>
      </c>
      <c r="D943" t="s">
        <v>5</v>
      </c>
      <c r="E943" s="1">
        <v>45035</v>
      </c>
      <c r="F943" s="1" t="str">
        <f t="shared" si="28"/>
        <v>April</v>
      </c>
      <c r="G943" t="s">
        <v>11</v>
      </c>
      <c r="H943" t="s">
        <v>9</v>
      </c>
      <c r="I943" t="s">
        <v>3</v>
      </c>
      <c r="J943" t="str">
        <f t="shared" si="29"/>
        <v>Error: Should be None</v>
      </c>
      <c r="K943">
        <v>8</v>
      </c>
      <c r="L943" s="2">
        <v>70.599999999999994</v>
      </c>
      <c r="M943" t="s">
        <v>4</v>
      </c>
    </row>
    <row r="944" spans="1:13" x14ac:dyDescent="0.35">
      <c r="A944">
        <v>943</v>
      </c>
      <c r="B944">
        <v>21</v>
      </c>
      <c r="C944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44" t="s">
        <v>0</v>
      </c>
      <c r="E944" s="1">
        <v>45137</v>
      </c>
      <c r="F944" s="1" t="str">
        <f t="shared" si="28"/>
        <v>July</v>
      </c>
      <c r="G944" t="s">
        <v>6</v>
      </c>
      <c r="H944" t="s">
        <v>14</v>
      </c>
      <c r="I944" t="s">
        <v>3</v>
      </c>
      <c r="J944" t="str">
        <f t="shared" si="29"/>
        <v>Error: Should be None</v>
      </c>
      <c r="K944">
        <v>7</v>
      </c>
      <c r="L944" s="2">
        <v>371.62</v>
      </c>
      <c r="M944" t="s">
        <v>4</v>
      </c>
    </row>
    <row r="945" spans="1:13" x14ac:dyDescent="0.35">
      <c r="A945">
        <v>944</v>
      </c>
      <c r="B945">
        <v>47</v>
      </c>
      <c r="C945" t="str">
        <f>IF(Hospital[[#This Row],[Age]]&lt;=12,"Child",
IF(Hospital[[#This Row],[Age]]&lt;=19,"Teen",
IF(Hospital[[#This Row],[Age]]&lt;=35,"Young Adult",
IF(Hospital[[#This Row],[Age]]&lt;=59,"Adult",
"Senior"))))</f>
        <v>Adult</v>
      </c>
      <c r="D945" t="s">
        <v>0</v>
      </c>
      <c r="E945" s="1">
        <v>45084</v>
      </c>
      <c r="F945" s="1" t="str">
        <f t="shared" si="28"/>
        <v>June</v>
      </c>
      <c r="G945" t="s">
        <v>1</v>
      </c>
      <c r="H945" t="s">
        <v>7</v>
      </c>
      <c r="I945" t="s">
        <v>3</v>
      </c>
      <c r="J945" t="str">
        <f t="shared" si="29"/>
        <v>Error: Should be None</v>
      </c>
      <c r="K945">
        <v>1</v>
      </c>
      <c r="L945" s="2">
        <v>427.33</v>
      </c>
      <c r="M945" t="s">
        <v>10</v>
      </c>
    </row>
    <row r="946" spans="1:13" x14ac:dyDescent="0.35">
      <c r="A946">
        <v>945</v>
      </c>
      <c r="B946">
        <v>32</v>
      </c>
      <c r="C94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46" t="s">
        <v>0</v>
      </c>
      <c r="E946" s="1">
        <v>45352</v>
      </c>
      <c r="F946" s="1" t="str">
        <f t="shared" si="28"/>
        <v>March</v>
      </c>
      <c r="G946" t="s">
        <v>19</v>
      </c>
      <c r="H946" t="s">
        <v>2</v>
      </c>
      <c r="I946" t="s">
        <v>3</v>
      </c>
      <c r="J946" t="str">
        <f t="shared" si="29"/>
        <v>Error: Should be None</v>
      </c>
      <c r="K946">
        <v>4</v>
      </c>
      <c r="L946" s="2">
        <v>262.41000000000003</v>
      </c>
      <c r="M946" t="s">
        <v>4</v>
      </c>
    </row>
    <row r="947" spans="1:13" x14ac:dyDescent="0.35">
      <c r="A947">
        <v>946</v>
      </c>
      <c r="B947">
        <v>54</v>
      </c>
      <c r="C947" t="str">
        <f>IF(Hospital[[#This Row],[Age]]&lt;=12,"Child",
IF(Hospital[[#This Row],[Age]]&lt;=19,"Teen",
IF(Hospital[[#This Row],[Age]]&lt;=35,"Young Adult",
IF(Hospital[[#This Row],[Age]]&lt;=59,"Adult",
"Senior"))))</f>
        <v>Adult</v>
      </c>
      <c r="D947" t="s">
        <v>0</v>
      </c>
      <c r="E947" s="1">
        <v>45199</v>
      </c>
      <c r="F947" s="1" t="str">
        <f t="shared" si="28"/>
        <v>September</v>
      </c>
      <c r="G947" t="s">
        <v>1</v>
      </c>
      <c r="H947" t="s">
        <v>14</v>
      </c>
      <c r="I947" t="s">
        <v>13</v>
      </c>
      <c r="J947" t="str">
        <f t="shared" si="29"/>
        <v>Error: Should be None</v>
      </c>
      <c r="K947">
        <v>8</v>
      </c>
      <c r="L947" s="2">
        <v>222.43</v>
      </c>
      <c r="M947" t="s">
        <v>8</v>
      </c>
    </row>
    <row r="948" spans="1:13" x14ac:dyDescent="0.35">
      <c r="A948">
        <v>947</v>
      </c>
      <c r="B948">
        <v>53</v>
      </c>
      <c r="C948" t="str">
        <f>IF(Hospital[[#This Row],[Age]]&lt;=12,"Child",
IF(Hospital[[#This Row],[Age]]&lt;=19,"Teen",
IF(Hospital[[#This Row],[Age]]&lt;=35,"Young Adult",
IF(Hospital[[#This Row],[Age]]&lt;=59,"Adult",
"Senior"))))</f>
        <v>Adult</v>
      </c>
      <c r="D948" t="s">
        <v>0</v>
      </c>
      <c r="E948" s="1">
        <v>45068</v>
      </c>
      <c r="F948" s="1" t="str">
        <f t="shared" si="28"/>
        <v>May</v>
      </c>
      <c r="G948" t="s">
        <v>6</v>
      </c>
      <c r="H948" t="s">
        <v>12</v>
      </c>
      <c r="I948" t="s">
        <v>3</v>
      </c>
      <c r="J948" t="str">
        <f t="shared" si="29"/>
        <v>Error: Should be None</v>
      </c>
      <c r="K948">
        <v>10</v>
      </c>
      <c r="L948" s="2">
        <v>193.65</v>
      </c>
      <c r="M948" t="s">
        <v>4</v>
      </c>
    </row>
    <row r="949" spans="1:13" x14ac:dyDescent="0.35">
      <c r="A949">
        <v>948</v>
      </c>
      <c r="B949">
        <v>2</v>
      </c>
      <c r="C949" t="str">
        <f>IF(Hospital[[#This Row],[Age]]&lt;=12,"Child",
IF(Hospital[[#This Row],[Age]]&lt;=19,"Teen",
IF(Hospital[[#This Row],[Age]]&lt;=35,"Young Adult",
IF(Hospital[[#This Row],[Age]]&lt;=59,"Adult",
"Senior"))))</f>
        <v>Child</v>
      </c>
      <c r="D949" t="s">
        <v>5</v>
      </c>
      <c r="E949" s="1">
        <v>45380</v>
      </c>
      <c r="F949" s="1" t="str">
        <f t="shared" si="28"/>
        <v>March</v>
      </c>
      <c r="G949" t="s">
        <v>11</v>
      </c>
      <c r="H949" t="s">
        <v>17</v>
      </c>
      <c r="I949" t="s">
        <v>18</v>
      </c>
      <c r="J949" t="str">
        <f t="shared" si="29"/>
        <v>Error: Should be None</v>
      </c>
      <c r="K949">
        <v>5</v>
      </c>
      <c r="L949" s="2">
        <v>212.79</v>
      </c>
      <c r="M949" t="s">
        <v>8</v>
      </c>
    </row>
    <row r="950" spans="1:13" x14ac:dyDescent="0.35">
      <c r="A950">
        <v>949</v>
      </c>
      <c r="B950">
        <v>51</v>
      </c>
      <c r="C950" t="str">
        <f>IF(Hospital[[#This Row],[Age]]&lt;=12,"Child",
IF(Hospital[[#This Row],[Age]]&lt;=19,"Teen",
IF(Hospital[[#This Row],[Age]]&lt;=35,"Young Adult",
IF(Hospital[[#This Row],[Age]]&lt;=59,"Adult",
"Senior"))))</f>
        <v>Adult</v>
      </c>
      <c r="D950" t="s">
        <v>5</v>
      </c>
      <c r="E950" s="1">
        <v>45371</v>
      </c>
      <c r="F950" s="1" t="str">
        <f t="shared" si="28"/>
        <v>March</v>
      </c>
      <c r="G950" t="s">
        <v>1</v>
      </c>
      <c r="H950" t="s">
        <v>2</v>
      </c>
      <c r="I950" t="s">
        <v>3</v>
      </c>
      <c r="J950" t="str">
        <f t="shared" si="29"/>
        <v>Error: Should be None</v>
      </c>
      <c r="K950">
        <v>9</v>
      </c>
      <c r="L950" s="2">
        <v>47.75</v>
      </c>
      <c r="M950" t="s">
        <v>16</v>
      </c>
    </row>
    <row r="951" spans="1:13" x14ac:dyDescent="0.35">
      <c r="A951">
        <v>950</v>
      </c>
      <c r="B951">
        <v>71</v>
      </c>
      <c r="C951" t="str">
        <f>IF(Hospital[[#This Row],[Age]]&lt;=12,"Child",
IF(Hospital[[#This Row],[Age]]&lt;=19,"Teen",
IF(Hospital[[#This Row],[Age]]&lt;=35,"Young Adult",
IF(Hospital[[#This Row],[Age]]&lt;=59,"Adult",
"Senior"))))</f>
        <v>Senior</v>
      </c>
      <c r="D951" t="s">
        <v>0</v>
      </c>
      <c r="E951" s="1">
        <v>45356</v>
      </c>
      <c r="F951" s="1" t="str">
        <f t="shared" si="28"/>
        <v>March</v>
      </c>
      <c r="G951" t="s">
        <v>19</v>
      </c>
      <c r="H951" t="s">
        <v>12</v>
      </c>
      <c r="I951" t="s">
        <v>18</v>
      </c>
      <c r="J951" t="str">
        <f t="shared" si="29"/>
        <v>Error: Should be None</v>
      </c>
      <c r="K951">
        <v>0</v>
      </c>
      <c r="L951" s="2">
        <v>416.96</v>
      </c>
      <c r="M951" t="s">
        <v>8</v>
      </c>
    </row>
    <row r="952" spans="1:13" x14ac:dyDescent="0.35">
      <c r="A952">
        <v>951</v>
      </c>
      <c r="B952">
        <v>58</v>
      </c>
      <c r="C952" t="str">
        <f>IF(Hospital[[#This Row],[Age]]&lt;=12,"Child",
IF(Hospital[[#This Row],[Age]]&lt;=19,"Teen",
IF(Hospital[[#This Row],[Age]]&lt;=35,"Young Adult",
IF(Hospital[[#This Row],[Age]]&lt;=59,"Adult",
"Senior"))))</f>
        <v>Adult</v>
      </c>
      <c r="D952" t="s">
        <v>5</v>
      </c>
      <c r="E952" s="1">
        <v>45644</v>
      </c>
      <c r="F952" s="1" t="str">
        <f t="shared" si="28"/>
        <v>December</v>
      </c>
      <c r="G952" t="s">
        <v>6</v>
      </c>
      <c r="H952" t="s">
        <v>12</v>
      </c>
      <c r="I952" t="s">
        <v>18</v>
      </c>
      <c r="J952" t="str">
        <f t="shared" si="29"/>
        <v>Error: Should be None</v>
      </c>
      <c r="K952">
        <v>10</v>
      </c>
      <c r="L952" s="2">
        <v>214.16</v>
      </c>
      <c r="M952" t="s">
        <v>8</v>
      </c>
    </row>
    <row r="953" spans="1:13" x14ac:dyDescent="0.35">
      <c r="A953">
        <v>952</v>
      </c>
      <c r="B953">
        <v>5</v>
      </c>
      <c r="C953" t="str">
        <f>IF(Hospital[[#This Row],[Age]]&lt;=12,"Child",
IF(Hospital[[#This Row],[Age]]&lt;=19,"Teen",
IF(Hospital[[#This Row],[Age]]&lt;=35,"Young Adult",
IF(Hospital[[#This Row],[Age]]&lt;=59,"Adult",
"Senior"))))</f>
        <v>Child</v>
      </c>
      <c r="D953" t="s">
        <v>0</v>
      </c>
      <c r="E953" s="1">
        <v>45235</v>
      </c>
      <c r="F953" s="1" t="str">
        <f t="shared" si="28"/>
        <v>November</v>
      </c>
      <c r="G953" t="s">
        <v>6</v>
      </c>
      <c r="H953" t="s">
        <v>2</v>
      </c>
      <c r="I953" t="s">
        <v>3</v>
      </c>
      <c r="J953" t="str">
        <f t="shared" si="29"/>
        <v>Error: Should be None</v>
      </c>
      <c r="K953">
        <v>2</v>
      </c>
      <c r="L953" s="2">
        <v>269.83</v>
      </c>
      <c r="M953" t="s">
        <v>16</v>
      </c>
    </row>
    <row r="954" spans="1:13" x14ac:dyDescent="0.35">
      <c r="A954">
        <v>953</v>
      </c>
      <c r="B954">
        <v>66</v>
      </c>
      <c r="C954" t="str">
        <f>IF(Hospital[[#This Row],[Age]]&lt;=12,"Child",
IF(Hospital[[#This Row],[Age]]&lt;=19,"Teen",
IF(Hospital[[#This Row],[Age]]&lt;=35,"Young Adult",
IF(Hospital[[#This Row],[Age]]&lt;=59,"Adult",
"Senior"))))</f>
        <v>Senior</v>
      </c>
      <c r="D954" t="s">
        <v>0</v>
      </c>
      <c r="E954" s="1">
        <v>45145</v>
      </c>
      <c r="F954" s="1" t="str">
        <f t="shared" si="28"/>
        <v>August</v>
      </c>
      <c r="G954" t="s">
        <v>19</v>
      </c>
      <c r="H954" t="s">
        <v>2</v>
      </c>
      <c r="I954" t="s">
        <v>3</v>
      </c>
      <c r="J954" t="str">
        <f t="shared" si="29"/>
        <v>Error: Should be None</v>
      </c>
      <c r="K954">
        <v>10</v>
      </c>
      <c r="L954" s="2">
        <v>96.81</v>
      </c>
      <c r="M954" t="s">
        <v>4</v>
      </c>
    </row>
    <row r="955" spans="1:13" x14ac:dyDescent="0.35">
      <c r="A955">
        <v>954</v>
      </c>
      <c r="B955">
        <v>34</v>
      </c>
      <c r="C95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55" t="s">
        <v>5</v>
      </c>
      <c r="E955" s="1">
        <v>45479</v>
      </c>
      <c r="F955" s="1" t="str">
        <f t="shared" si="28"/>
        <v>July</v>
      </c>
      <c r="G955" t="s">
        <v>19</v>
      </c>
      <c r="H955" t="s">
        <v>9</v>
      </c>
      <c r="I955" t="s">
        <v>3</v>
      </c>
      <c r="J955" t="str">
        <f t="shared" si="29"/>
        <v>Error: Should be None</v>
      </c>
      <c r="K955">
        <v>6</v>
      </c>
      <c r="L955" s="2">
        <v>493.74</v>
      </c>
      <c r="M955" t="s">
        <v>4</v>
      </c>
    </row>
    <row r="956" spans="1:13" x14ac:dyDescent="0.35">
      <c r="A956">
        <v>955</v>
      </c>
      <c r="B956">
        <v>34</v>
      </c>
      <c r="C956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56" t="s">
        <v>0</v>
      </c>
      <c r="E956" s="1">
        <v>44988</v>
      </c>
      <c r="F956" s="1" t="str">
        <f t="shared" si="28"/>
        <v>March</v>
      </c>
      <c r="G956" t="s">
        <v>11</v>
      </c>
      <c r="H956" t="s">
        <v>14</v>
      </c>
      <c r="I956" t="s">
        <v>15</v>
      </c>
      <c r="J956" t="str">
        <f t="shared" si="29"/>
        <v>Error: Should be None</v>
      </c>
      <c r="K956">
        <v>10</v>
      </c>
      <c r="L956" s="2">
        <v>471.84</v>
      </c>
      <c r="M956" t="s">
        <v>10</v>
      </c>
    </row>
    <row r="957" spans="1:13" x14ac:dyDescent="0.35">
      <c r="A957">
        <v>956</v>
      </c>
      <c r="B957">
        <v>1</v>
      </c>
      <c r="C957" t="str">
        <f>IF(Hospital[[#This Row],[Age]]&lt;=12,"Child",
IF(Hospital[[#This Row],[Age]]&lt;=19,"Teen",
IF(Hospital[[#This Row],[Age]]&lt;=35,"Young Adult",
IF(Hospital[[#This Row],[Age]]&lt;=59,"Adult",
"Senior"))))</f>
        <v>Child</v>
      </c>
      <c r="D957" t="s">
        <v>0</v>
      </c>
      <c r="E957" s="1">
        <v>45232</v>
      </c>
      <c r="F957" s="1" t="str">
        <f t="shared" si="28"/>
        <v>November</v>
      </c>
      <c r="G957" t="s">
        <v>19</v>
      </c>
      <c r="H957" t="s">
        <v>9</v>
      </c>
      <c r="I957" t="s">
        <v>3</v>
      </c>
      <c r="J957" t="str">
        <f t="shared" si="29"/>
        <v>Error: Should be None</v>
      </c>
      <c r="K957">
        <v>3</v>
      </c>
      <c r="L957" s="2">
        <v>406.59</v>
      </c>
      <c r="M957" t="s">
        <v>8</v>
      </c>
    </row>
    <row r="958" spans="1:13" x14ac:dyDescent="0.35">
      <c r="A958">
        <v>957</v>
      </c>
      <c r="B958">
        <v>37</v>
      </c>
      <c r="C958" t="str">
        <f>IF(Hospital[[#This Row],[Age]]&lt;=12,"Child",
IF(Hospital[[#This Row],[Age]]&lt;=19,"Teen",
IF(Hospital[[#This Row],[Age]]&lt;=35,"Young Adult",
IF(Hospital[[#This Row],[Age]]&lt;=59,"Adult",
"Senior"))))</f>
        <v>Adult</v>
      </c>
      <c r="D958" t="s">
        <v>5</v>
      </c>
      <c r="E958" s="1">
        <v>45285</v>
      </c>
      <c r="F958" s="1" t="str">
        <f t="shared" si="28"/>
        <v>December</v>
      </c>
      <c r="G958" t="s">
        <v>6</v>
      </c>
      <c r="H958" t="s">
        <v>14</v>
      </c>
      <c r="I958" t="s">
        <v>3</v>
      </c>
      <c r="J958" t="str">
        <f t="shared" si="29"/>
        <v>Error: Should be None</v>
      </c>
      <c r="K958">
        <v>3</v>
      </c>
      <c r="L958" s="2">
        <v>70.510000000000005</v>
      </c>
      <c r="M958" t="s">
        <v>8</v>
      </c>
    </row>
    <row r="959" spans="1:13" x14ac:dyDescent="0.35">
      <c r="A959">
        <v>958</v>
      </c>
      <c r="B959">
        <v>13</v>
      </c>
      <c r="C959" t="str">
        <f>IF(Hospital[[#This Row],[Age]]&lt;=12,"Child",
IF(Hospital[[#This Row],[Age]]&lt;=19,"Teen",
IF(Hospital[[#This Row],[Age]]&lt;=35,"Young Adult",
IF(Hospital[[#This Row],[Age]]&lt;=59,"Adult",
"Senior"))))</f>
        <v>Teen</v>
      </c>
      <c r="D959" t="s">
        <v>5</v>
      </c>
      <c r="E959" s="1">
        <v>45296</v>
      </c>
      <c r="F959" s="1" t="str">
        <f t="shared" si="28"/>
        <v>January</v>
      </c>
      <c r="G959" t="s">
        <v>6</v>
      </c>
      <c r="H959" t="s">
        <v>12</v>
      </c>
      <c r="I959" t="s">
        <v>20</v>
      </c>
      <c r="J959" t="str">
        <f t="shared" si="29"/>
        <v>Error: Should be None</v>
      </c>
      <c r="K959">
        <v>1</v>
      </c>
      <c r="L959" s="2">
        <v>64.28</v>
      </c>
      <c r="M959" t="s">
        <v>10</v>
      </c>
    </row>
    <row r="960" spans="1:13" x14ac:dyDescent="0.35">
      <c r="A960">
        <v>959</v>
      </c>
      <c r="B960">
        <v>28</v>
      </c>
      <c r="C960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60" t="s">
        <v>0</v>
      </c>
      <c r="E960" s="1">
        <v>45060</v>
      </c>
      <c r="F960" s="1" t="str">
        <f t="shared" si="28"/>
        <v>May</v>
      </c>
      <c r="G960" t="s">
        <v>11</v>
      </c>
      <c r="H960" t="s">
        <v>12</v>
      </c>
      <c r="I960" t="s">
        <v>18</v>
      </c>
      <c r="J960" t="str">
        <f t="shared" si="29"/>
        <v>Error: Should be None</v>
      </c>
      <c r="K960">
        <v>10</v>
      </c>
      <c r="L960" s="2">
        <v>272.60000000000002</v>
      </c>
      <c r="M960" t="s">
        <v>10</v>
      </c>
    </row>
    <row r="961" spans="1:13" x14ac:dyDescent="0.35">
      <c r="A961">
        <v>960</v>
      </c>
      <c r="B961">
        <v>64</v>
      </c>
      <c r="C961" t="str">
        <f>IF(Hospital[[#This Row],[Age]]&lt;=12,"Child",
IF(Hospital[[#This Row],[Age]]&lt;=19,"Teen",
IF(Hospital[[#This Row],[Age]]&lt;=35,"Young Adult",
IF(Hospital[[#This Row],[Age]]&lt;=59,"Adult",
"Senior"))))</f>
        <v>Senior</v>
      </c>
      <c r="D961" t="s">
        <v>0</v>
      </c>
      <c r="E961" s="1">
        <v>45197</v>
      </c>
      <c r="F961" s="1" t="str">
        <f t="shared" si="28"/>
        <v>September</v>
      </c>
      <c r="G961" t="s">
        <v>6</v>
      </c>
      <c r="H961" t="s">
        <v>9</v>
      </c>
      <c r="I961" t="s">
        <v>3</v>
      </c>
      <c r="J961" t="str">
        <f t="shared" si="29"/>
        <v>Error: Should be None</v>
      </c>
      <c r="K961">
        <v>7</v>
      </c>
      <c r="L961" s="2">
        <v>371.22</v>
      </c>
      <c r="M961" t="s">
        <v>10</v>
      </c>
    </row>
    <row r="962" spans="1:13" x14ac:dyDescent="0.35">
      <c r="A962">
        <v>961</v>
      </c>
      <c r="B962">
        <v>65</v>
      </c>
      <c r="C962" t="str">
        <f>IF(Hospital[[#This Row],[Age]]&lt;=12,"Child",
IF(Hospital[[#This Row],[Age]]&lt;=19,"Teen",
IF(Hospital[[#This Row],[Age]]&lt;=35,"Young Adult",
IF(Hospital[[#This Row],[Age]]&lt;=59,"Adult",
"Senior"))))</f>
        <v>Senior</v>
      </c>
      <c r="D962" t="s">
        <v>5</v>
      </c>
      <c r="E962" s="1">
        <v>45093</v>
      </c>
      <c r="F962" s="1" t="str">
        <f t="shared" si="28"/>
        <v>June</v>
      </c>
      <c r="G962" t="s">
        <v>6</v>
      </c>
      <c r="H962" t="s">
        <v>17</v>
      </c>
      <c r="I962" t="s">
        <v>20</v>
      </c>
      <c r="J962" t="str">
        <f t="shared" si="29"/>
        <v>Error: Should be None</v>
      </c>
      <c r="K962">
        <v>2</v>
      </c>
      <c r="L962" s="2">
        <v>484.66</v>
      </c>
      <c r="M962" t="s">
        <v>4</v>
      </c>
    </row>
    <row r="963" spans="1:13" x14ac:dyDescent="0.35">
      <c r="A963">
        <v>962</v>
      </c>
      <c r="B963">
        <v>59</v>
      </c>
      <c r="C963" t="str">
        <f>IF(Hospital[[#This Row],[Age]]&lt;=12,"Child",
IF(Hospital[[#This Row],[Age]]&lt;=19,"Teen",
IF(Hospital[[#This Row],[Age]]&lt;=35,"Young Adult",
IF(Hospital[[#This Row],[Age]]&lt;=59,"Adult",
"Senior"))))</f>
        <v>Adult</v>
      </c>
      <c r="D963" t="s">
        <v>0</v>
      </c>
      <c r="E963" s="1">
        <v>45638</v>
      </c>
      <c r="F963" s="1" t="str">
        <f t="shared" ref="F963:F1001" si="30">TEXT(E963, "mmmm")</f>
        <v>December</v>
      </c>
      <c r="G963" t="s">
        <v>11</v>
      </c>
      <c r="H963" t="s">
        <v>17</v>
      </c>
      <c r="I963" t="s">
        <v>13</v>
      </c>
      <c r="J963" t="str">
        <f t="shared" ref="J963:J1001" si="31">IF(OR(G963="UTI", G963="Pneumonia", G963="Typhoid"),
   IF(H963="None","Error: Should have antibiotics","OK"),
   IF(H963&lt;&gt;"None","Error: Should be None","OK"))</f>
        <v>Error: Should be None</v>
      </c>
      <c r="K963">
        <v>8</v>
      </c>
      <c r="L963" s="2">
        <v>197.28</v>
      </c>
      <c r="M963" t="s">
        <v>4</v>
      </c>
    </row>
    <row r="964" spans="1:13" x14ac:dyDescent="0.35">
      <c r="A964">
        <v>963</v>
      </c>
      <c r="B964">
        <v>15</v>
      </c>
      <c r="C964" t="str">
        <f>IF(Hospital[[#This Row],[Age]]&lt;=12,"Child",
IF(Hospital[[#This Row],[Age]]&lt;=19,"Teen",
IF(Hospital[[#This Row],[Age]]&lt;=35,"Young Adult",
IF(Hospital[[#This Row],[Age]]&lt;=59,"Adult",
"Senior"))))</f>
        <v>Teen</v>
      </c>
      <c r="D964" t="s">
        <v>5</v>
      </c>
      <c r="E964" s="1">
        <v>45543</v>
      </c>
      <c r="F964" s="1" t="str">
        <f t="shared" si="30"/>
        <v>September</v>
      </c>
      <c r="G964" t="s">
        <v>19</v>
      </c>
      <c r="H964" t="s">
        <v>12</v>
      </c>
      <c r="I964" t="s">
        <v>3</v>
      </c>
      <c r="J964" t="str">
        <f t="shared" si="31"/>
        <v>Error: Should be None</v>
      </c>
      <c r="K964">
        <v>4</v>
      </c>
      <c r="L964" s="2">
        <v>39.340000000000003</v>
      </c>
      <c r="M964" t="s">
        <v>8</v>
      </c>
    </row>
    <row r="965" spans="1:13" x14ac:dyDescent="0.35">
      <c r="A965">
        <v>964</v>
      </c>
      <c r="B965">
        <v>40</v>
      </c>
      <c r="C965" t="str">
        <f>IF(Hospital[[#This Row],[Age]]&lt;=12,"Child",
IF(Hospital[[#This Row],[Age]]&lt;=19,"Teen",
IF(Hospital[[#This Row],[Age]]&lt;=35,"Young Adult",
IF(Hospital[[#This Row],[Age]]&lt;=59,"Adult",
"Senior"))))</f>
        <v>Adult</v>
      </c>
      <c r="D965" t="s">
        <v>0</v>
      </c>
      <c r="E965" s="1">
        <v>45047</v>
      </c>
      <c r="F965" s="1" t="str">
        <f t="shared" si="30"/>
        <v>May</v>
      </c>
      <c r="G965" t="s">
        <v>19</v>
      </c>
      <c r="H965" t="s">
        <v>14</v>
      </c>
      <c r="I965" t="s">
        <v>18</v>
      </c>
      <c r="J965" t="str">
        <f t="shared" si="31"/>
        <v>Error: Should be None</v>
      </c>
      <c r="K965">
        <v>7</v>
      </c>
      <c r="L965" s="2">
        <v>33.43</v>
      </c>
      <c r="M965" t="s">
        <v>8</v>
      </c>
    </row>
    <row r="966" spans="1:13" x14ac:dyDescent="0.35">
      <c r="A966">
        <v>965</v>
      </c>
      <c r="B966">
        <v>54</v>
      </c>
      <c r="C966" t="str">
        <f>IF(Hospital[[#This Row],[Age]]&lt;=12,"Child",
IF(Hospital[[#This Row],[Age]]&lt;=19,"Teen",
IF(Hospital[[#This Row],[Age]]&lt;=35,"Young Adult",
IF(Hospital[[#This Row],[Age]]&lt;=59,"Adult",
"Senior"))))</f>
        <v>Adult</v>
      </c>
      <c r="D966" t="s">
        <v>5</v>
      </c>
      <c r="E966" s="1">
        <v>45072</v>
      </c>
      <c r="F966" s="1" t="str">
        <f t="shared" si="30"/>
        <v>May</v>
      </c>
      <c r="G966" t="s">
        <v>19</v>
      </c>
      <c r="H966" t="s">
        <v>9</v>
      </c>
      <c r="I966" t="s">
        <v>3</v>
      </c>
      <c r="J966" t="str">
        <f t="shared" si="31"/>
        <v>Error: Should be None</v>
      </c>
      <c r="K966">
        <v>4</v>
      </c>
      <c r="L966" s="2">
        <v>123.48</v>
      </c>
      <c r="M966" t="s">
        <v>10</v>
      </c>
    </row>
    <row r="967" spans="1:13" x14ac:dyDescent="0.35">
      <c r="A967">
        <v>966</v>
      </c>
      <c r="B967">
        <v>71</v>
      </c>
      <c r="C967" t="str">
        <f>IF(Hospital[[#This Row],[Age]]&lt;=12,"Child",
IF(Hospital[[#This Row],[Age]]&lt;=19,"Teen",
IF(Hospital[[#This Row],[Age]]&lt;=35,"Young Adult",
IF(Hospital[[#This Row],[Age]]&lt;=59,"Adult",
"Senior"))))</f>
        <v>Senior</v>
      </c>
      <c r="D967" t="s">
        <v>0</v>
      </c>
      <c r="E967" s="1">
        <v>44929</v>
      </c>
      <c r="F967" s="1" t="str">
        <f t="shared" si="30"/>
        <v>January</v>
      </c>
      <c r="G967" t="s">
        <v>11</v>
      </c>
      <c r="H967" t="s">
        <v>2</v>
      </c>
      <c r="I967" t="s">
        <v>3</v>
      </c>
      <c r="J967" t="str">
        <f t="shared" si="31"/>
        <v>Error: Should be None</v>
      </c>
      <c r="K967">
        <v>0</v>
      </c>
      <c r="L967" s="2">
        <v>220.44</v>
      </c>
      <c r="M967" t="s">
        <v>16</v>
      </c>
    </row>
    <row r="968" spans="1:13" x14ac:dyDescent="0.35">
      <c r="A968">
        <v>967</v>
      </c>
      <c r="B968">
        <v>44</v>
      </c>
      <c r="C968" t="str">
        <f>IF(Hospital[[#This Row],[Age]]&lt;=12,"Child",
IF(Hospital[[#This Row],[Age]]&lt;=19,"Teen",
IF(Hospital[[#This Row],[Age]]&lt;=35,"Young Adult",
IF(Hospital[[#This Row],[Age]]&lt;=59,"Adult",
"Senior"))))</f>
        <v>Adult</v>
      </c>
      <c r="D968" t="s">
        <v>0</v>
      </c>
      <c r="E968" s="1">
        <v>45506</v>
      </c>
      <c r="F968" s="1" t="str">
        <f t="shared" si="30"/>
        <v>August</v>
      </c>
      <c r="G968" t="s">
        <v>6</v>
      </c>
      <c r="H968" t="s">
        <v>12</v>
      </c>
      <c r="I968" t="s">
        <v>3</v>
      </c>
      <c r="J968" t="str">
        <f t="shared" si="31"/>
        <v>Error: Should be None</v>
      </c>
      <c r="K968">
        <v>2</v>
      </c>
      <c r="L968" s="2">
        <v>385.74</v>
      </c>
      <c r="M968" t="s">
        <v>10</v>
      </c>
    </row>
    <row r="969" spans="1:13" x14ac:dyDescent="0.35">
      <c r="A969">
        <v>968</v>
      </c>
      <c r="B969">
        <v>58</v>
      </c>
      <c r="C969" t="str">
        <f>IF(Hospital[[#This Row],[Age]]&lt;=12,"Child",
IF(Hospital[[#This Row],[Age]]&lt;=19,"Teen",
IF(Hospital[[#This Row],[Age]]&lt;=35,"Young Adult",
IF(Hospital[[#This Row],[Age]]&lt;=59,"Adult",
"Senior"))))</f>
        <v>Adult</v>
      </c>
      <c r="D969" t="s">
        <v>5</v>
      </c>
      <c r="E969" s="1">
        <v>45387</v>
      </c>
      <c r="F969" s="1" t="str">
        <f t="shared" si="30"/>
        <v>April</v>
      </c>
      <c r="G969" t="s">
        <v>19</v>
      </c>
      <c r="H969" t="s">
        <v>7</v>
      </c>
      <c r="I969" t="s">
        <v>3</v>
      </c>
      <c r="J969" t="str">
        <f t="shared" si="31"/>
        <v>Error: Should be None</v>
      </c>
      <c r="K969">
        <v>1</v>
      </c>
      <c r="L969" s="2">
        <v>403.91</v>
      </c>
      <c r="M969" t="s">
        <v>10</v>
      </c>
    </row>
    <row r="970" spans="1:13" x14ac:dyDescent="0.35">
      <c r="A970">
        <v>969</v>
      </c>
      <c r="B970">
        <v>51</v>
      </c>
      <c r="C970" t="str">
        <f>IF(Hospital[[#This Row],[Age]]&lt;=12,"Child",
IF(Hospital[[#This Row],[Age]]&lt;=19,"Teen",
IF(Hospital[[#This Row],[Age]]&lt;=35,"Young Adult",
IF(Hospital[[#This Row],[Age]]&lt;=59,"Adult",
"Senior"))))</f>
        <v>Adult</v>
      </c>
      <c r="D970" t="s">
        <v>0</v>
      </c>
      <c r="E970" s="1">
        <v>45323</v>
      </c>
      <c r="F970" s="1" t="str">
        <f t="shared" si="30"/>
        <v>February</v>
      </c>
      <c r="G970" t="s">
        <v>11</v>
      </c>
      <c r="H970" t="s">
        <v>17</v>
      </c>
      <c r="I970" t="s">
        <v>20</v>
      </c>
      <c r="J970" t="str">
        <f t="shared" si="31"/>
        <v>Error: Should be None</v>
      </c>
      <c r="K970">
        <v>4</v>
      </c>
      <c r="L970" s="2">
        <v>330.04</v>
      </c>
      <c r="M970" t="s">
        <v>8</v>
      </c>
    </row>
    <row r="971" spans="1:13" x14ac:dyDescent="0.35">
      <c r="A971">
        <v>970</v>
      </c>
      <c r="B971">
        <v>74</v>
      </c>
      <c r="C971" t="str">
        <f>IF(Hospital[[#This Row],[Age]]&lt;=12,"Child",
IF(Hospital[[#This Row],[Age]]&lt;=19,"Teen",
IF(Hospital[[#This Row],[Age]]&lt;=35,"Young Adult",
IF(Hospital[[#This Row],[Age]]&lt;=59,"Adult",
"Senior"))))</f>
        <v>Senior</v>
      </c>
      <c r="D971" t="s">
        <v>0</v>
      </c>
      <c r="E971" s="1">
        <v>45651</v>
      </c>
      <c r="F971" s="1" t="str">
        <f t="shared" si="30"/>
        <v>December</v>
      </c>
      <c r="G971" t="s">
        <v>11</v>
      </c>
      <c r="H971" t="s">
        <v>2</v>
      </c>
      <c r="I971" t="s">
        <v>3</v>
      </c>
      <c r="J971" t="str">
        <f t="shared" si="31"/>
        <v>Error: Should be None</v>
      </c>
      <c r="K971">
        <v>10</v>
      </c>
      <c r="L971" s="2">
        <v>288.49</v>
      </c>
      <c r="M971" t="s">
        <v>8</v>
      </c>
    </row>
    <row r="972" spans="1:13" x14ac:dyDescent="0.35">
      <c r="A972">
        <v>971</v>
      </c>
      <c r="B972">
        <v>74</v>
      </c>
      <c r="C972" t="str">
        <f>IF(Hospital[[#This Row],[Age]]&lt;=12,"Child",
IF(Hospital[[#This Row],[Age]]&lt;=19,"Teen",
IF(Hospital[[#This Row],[Age]]&lt;=35,"Young Adult",
IF(Hospital[[#This Row],[Age]]&lt;=59,"Adult",
"Senior"))))</f>
        <v>Senior</v>
      </c>
      <c r="D972" t="s">
        <v>5</v>
      </c>
      <c r="E972" s="1">
        <v>45560</v>
      </c>
      <c r="F972" s="1" t="str">
        <f t="shared" si="30"/>
        <v>September</v>
      </c>
      <c r="G972" t="s">
        <v>1</v>
      </c>
      <c r="H972" t="s">
        <v>9</v>
      </c>
      <c r="I972" t="s">
        <v>3</v>
      </c>
      <c r="J972" t="str">
        <f t="shared" si="31"/>
        <v>Error: Should be None</v>
      </c>
      <c r="K972">
        <v>7</v>
      </c>
      <c r="L972" s="2">
        <v>261.27</v>
      </c>
      <c r="M972" t="s">
        <v>4</v>
      </c>
    </row>
    <row r="973" spans="1:13" x14ac:dyDescent="0.35">
      <c r="A973">
        <v>972</v>
      </c>
      <c r="B973">
        <v>69</v>
      </c>
      <c r="C973" t="str">
        <f>IF(Hospital[[#This Row],[Age]]&lt;=12,"Child",
IF(Hospital[[#This Row],[Age]]&lt;=19,"Teen",
IF(Hospital[[#This Row],[Age]]&lt;=35,"Young Adult",
IF(Hospital[[#This Row],[Age]]&lt;=59,"Adult",
"Senior"))))</f>
        <v>Senior</v>
      </c>
      <c r="D973" t="s">
        <v>5</v>
      </c>
      <c r="E973" s="1">
        <v>45050</v>
      </c>
      <c r="F973" s="1" t="str">
        <f t="shared" si="30"/>
        <v>May</v>
      </c>
      <c r="G973" t="s">
        <v>11</v>
      </c>
      <c r="H973" t="s">
        <v>7</v>
      </c>
      <c r="I973" t="s">
        <v>3</v>
      </c>
      <c r="J973" t="str">
        <f t="shared" si="31"/>
        <v>Error: Should be None</v>
      </c>
      <c r="K973">
        <v>4</v>
      </c>
      <c r="L973" s="2">
        <v>397.64</v>
      </c>
      <c r="M973" t="s">
        <v>8</v>
      </c>
    </row>
    <row r="974" spans="1:13" x14ac:dyDescent="0.35">
      <c r="A974">
        <v>973</v>
      </c>
      <c r="B974">
        <v>57</v>
      </c>
      <c r="C974" t="str">
        <f>IF(Hospital[[#This Row],[Age]]&lt;=12,"Child",
IF(Hospital[[#This Row],[Age]]&lt;=19,"Teen",
IF(Hospital[[#This Row],[Age]]&lt;=35,"Young Adult",
IF(Hospital[[#This Row],[Age]]&lt;=59,"Adult",
"Senior"))))</f>
        <v>Adult</v>
      </c>
      <c r="D974" t="s">
        <v>5</v>
      </c>
      <c r="E974" s="1">
        <v>45649</v>
      </c>
      <c r="F974" s="1" t="str">
        <f t="shared" si="30"/>
        <v>December</v>
      </c>
      <c r="G974" t="s">
        <v>19</v>
      </c>
      <c r="H974" t="s">
        <v>9</v>
      </c>
      <c r="I974" t="s">
        <v>3</v>
      </c>
      <c r="J974" t="str">
        <f t="shared" si="31"/>
        <v>Error: Should be None</v>
      </c>
      <c r="K974">
        <v>6</v>
      </c>
      <c r="L974" s="2">
        <v>302.67</v>
      </c>
      <c r="M974" t="s">
        <v>10</v>
      </c>
    </row>
    <row r="975" spans="1:13" x14ac:dyDescent="0.35">
      <c r="A975">
        <v>974</v>
      </c>
      <c r="B975">
        <v>56</v>
      </c>
      <c r="C975" t="str">
        <f>IF(Hospital[[#This Row],[Age]]&lt;=12,"Child",
IF(Hospital[[#This Row],[Age]]&lt;=19,"Teen",
IF(Hospital[[#This Row],[Age]]&lt;=35,"Young Adult",
IF(Hospital[[#This Row],[Age]]&lt;=59,"Adult",
"Senior"))))</f>
        <v>Adult</v>
      </c>
      <c r="D975" t="s">
        <v>5</v>
      </c>
      <c r="E975" s="1">
        <v>44950</v>
      </c>
      <c r="F975" s="1" t="str">
        <f t="shared" si="30"/>
        <v>January</v>
      </c>
      <c r="G975" t="s">
        <v>6</v>
      </c>
      <c r="H975" t="s">
        <v>14</v>
      </c>
      <c r="I975" t="s">
        <v>15</v>
      </c>
      <c r="J975" t="str">
        <f t="shared" si="31"/>
        <v>Error: Should be None</v>
      </c>
      <c r="K975">
        <v>8</v>
      </c>
      <c r="L975" s="2">
        <v>172.34</v>
      </c>
      <c r="M975" t="s">
        <v>16</v>
      </c>
    </row>
    <row r="976" spans="1:13" x14ac:dyDescent="0.35">
      <c r="A976">
        <v>975</v>
      </c>
      <c r="B976">
        <v>13</v>
      </c>
      <c r="C976" t="str">
        <f>IF(Hospital[[#This Row],[Age]]&lt;=12,"Child",
IF(Hospital[[#This Row],[Age]]&lt;=19,"Teen",
IF(Hospital[[#This Row],[Age]]&lt;=35,"Young Adult",
IF(Hospital[[#This Row],[Age]]&lt;=59,"Adult",
"Senior"))))</f>
        <v>Teen</v>
      </c>
      <c r="D976" t="s">
        <v>5</v>
      </c>
      <c r="E976" s="1">
        <v>45020</v>
      </c>
      <c r="F976" s="1" t="str">
        <f t="shared" si="30"/>
        <v>April</v>
      </c>
      <c r="G976" t="s">
        <v>19</v>
      </c>
      <c r="H976" t="s">
        <v>2</v>
      </c>
      <c r="I976" t="s">
        <v>3</v>
      </c>
      <c r="J976" t="str">
        <f t="shared" si="31"/>
        <v>Error: Should be None</v>
      </c>
      <c r="K976">
        <v>2</v>
      </c>
      <c r="L976" s="2">
        <v>107.68</v>
      </c>
      <c r="M976" t="s">
        <v>4</v>
      </c>
    </row>
    <row r="977" spans="1:13" x14ac:dyDescent="0.35">
      <c r="A977">
        <v>976</v>
      </c>
      <c r="B977">
        <v>53</v>
      </c>
      <c r="C977" t="str">
        <f>IF(Hospital[[#This Row],[Age]]&lt;=12,"Child",
IF(Hospital[[#This Row],[Age]]&lt;=19,"Teen",
IF(Hospital[[#This Row],[Age]]&lt;=35,"Young Adult",
IF(Hospital[[#This Row],[Age]]&lt;=59,"Adult",
"Senior"))))</f>
        <v>Adult</v>
      </c>
      <c r="D977" t="s">
        <v>5</v>
      </c>
      <c r="E977" s="1">
        <v>45084</v>
      </c>
      <c r="F977" s="1" t="str">
        <f t="shared" si="30"/>
        <v>June</v>
      </c>
      <c r="G977" t="s">
        <v>11</v>
      </c>
      <c r="H977" t="s">
        <v>14</v>
      </c>
      <c r="I977" t="s">
        <v>3</v>
      </c>
      <c r="J977" t="str">
        <f t="shared" si="31"/>
        <v>Error: Should be None</v>
      </c>
      <c r="K977">
        <v>5</v>
      </c>
      <c r="L977" s="2">
        <v>107.1</v>
      </c>
      <c r="M977" t="s">
        <v>4</v>
      </c>
    </row>
    <row r="978" spans="1:13" x14ac:dyDescent="0.35">
      <c r="A978">
        <v>977</v>
      </c>
      <c r="B978">
        <v>13</v>
      </c>
      <c r="C978" t="str">
        <f>IF(Hospital[[#This Row],[Age]]&lt;=12,"Child",
IF(Hospital[[#This Row],[Age]]&lt;=19,"Teen",
IF(Hospital[[#This Row],[Age]]&lt;=35,"Young Adult",
IF(Hospital[[#This Row],[Age]]&lt;=59,"Adult",
"Senior"))))</f>
        <v>Teen</v>
      </c>
      <c r="D978" t="s">
        <v>0</v>
      </c>
      <c r="E978" s="1">
        <v>45232</v>
      </c>
      <c r="F978" s="1" t="str">
        <f t="shared" si="30"/>
        <v>November</v>
      </c>
      <c r="G978" t="s">
        <v>1</v>
      </c>
      <c r="H978" t="s">
        <v>12</v>
      </c>
      <c r="I978" t="s">
        <v>20</v>
      </c>
      <c r="J978" t="str">
        <f t="shared" si="31"/>
        <v>Error: Should be None</v>
      </c>
      <c r="K978">
        <v>5</v>
      </c>
      <c r="L978" s="2">
        <v>143.81</v>
      </c>
      <c r="M978" t="s">
        <v>4</v>
      </c>
    </row>
    <row r="979" spans="1:13" x14ac:dyDescent="0.35">
      <c r="A979">
        <v>978</v>
      </c>
      <c r="B979">
        <v>31</v>
      </c>
      <c r="C979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79" t="s">
        <v>5</v>
      </c>
      <c r="E979" s="1">
        <v>44980</v>
      </c>
      <c r="F979" s="1" t="str">
        <f t="shared" si="30"/>
        <v>February</v>
      </c>
      <c r="G979" t="s">
        <v>6</v>
      </c>
      <c r="H979" t="s">
        <v>17</v>
      </c>
      <c r="I979" t="s">
        <v>3</v>
      </c>
      <c r="J979" t="str">
        <f t="shared" si="31"/>
        <v>Error: Should be None</v>
      </c>
      <c r="K979">
        <v>8</v>
      </c>
      <c r="L979" s="2">
        <v>204.82</v>
      </c>
      <c r="M979" t="s">
        <v>4</v>
      </c>
    </row>
    <row r="980" spans="1:13" x14ac:dyDescent="0.35">
      <c r="A980">
        <v>979</v>
      </c>
      <c r="B980">
        <v>41</v>
      </c>
      <c r="C980" t="str">
        <f>IF(Hospital[[#This Row],[Age]]&lt;=12,"Child",
IF(Hospital[[#This Row],[Age]]&lt;=19,"Teen",
IF(Hospital[[#This Row],[Age]]&lt;=35,"Young Adult",
IF(Hospital[[#This Row],[Age]]&lt;=59,"Adult",
"Senior"))))</f>
        <v>Adult</v>
      </c>
      <c r="D980" t="s">
        <v>0</v>
      </c>
      <c r="E980" s="1">
        <v>45202</v>
      </c>
      <c r="F980" s="1" t="str">
        <f t="shared" si="30"/>
        <v>October</v>
      </c>
      <c r="G980" t="s">
        <v>6</v>
      </c>
      <c r="H980" t="s">
        <v>2</v>
      </c>
      <c r="I980" t="s">
        <v>3</v>
      </c>
      <c r="J980" t="str">
        <f t="shared" si="31"/>
        <v>Error: Should be None</v>
      </c>
      <c r="K980">
        <v>1</v>
      </c>
      <c r="L980" s="2">
        <v>252.4</v>
      </c>
      <c r="M980" t="s">
        <v>10</v>
      </c>
    </row>
    <row r="981" spans="1:13" x14ac:dyDescent="0.35">
      <c r="A981">
        <v>980</v>
      </c>
      <c r="B981">
        <v>3</v>
      </c>
      <c r="C981" t="str">
        <f>IF(Hospital[[#This Row],[Age]]&lt;=12,"Child",
IF(Hospital[[#This Row],[Age]]&lt;=19,"Teen",
IF(Hospital[[#This Row],[Age]]&lt;=35,"Young Adult",
IF(Hospital[[#This Row],[Age]]&lt;=59,"Adult",
"Senior"))))</f>
        <v>Child</v>
      </c>
      <c r="D981" t="s">
        <v>0</v>
      </c>
      <c r="E981" s="1">
        <v>45575</v>
      </c>
      <c r="F981" s="1" t="str">
        <f t="shared" si="30"/>
        <v>October</v>
      </c>
      <c r="G981" t="s">
        <v>11</v>
      </c>
      <c r="H981" t="s">
        <v>17</v>
      </c>
      <c r="I981" t="s">
        <v>13</v>
      </c>
      <c r="J981" t="str">
        <f t="shared" si="31"/>
        <v>Error: Should be None</v>
      </c>
      <c r="K981">
        <v>8</v>
      </c>
      <c r="L981" s="2">
        <v>332.74</v>
      </c>
      <c r="M981" t="s">
        <v>8</v>
      </c>
    </row>
    <row r="982" spans="1:13" x14ac:dyDescent="0.35">
      <c r="A982">
        <v>981</v>
      </c>
      <c r="B982">
        <v>53</v>
      </c>
      <c r="C982" t="str">
        <f>IF(Hospital[[#This Row],[Age]]&lt;=12,"Child",
IF(Hospital[[#This Row],[Age]]&lt;=19,"Teen",
IF(Hospital[[#This Row],[Age]]&lt;=35,"Young Adult",
IF(Hospital[[#This Row],[Age]]&lt;=59,"Adult",
"Senior"))))</f>
        <v>Adult</v>
      </c>
      <c r="D982" t="s">
        <v>0</v>
      </c>
      <c r="E982" s="1">
        <v>45238</v>
      </c>
      <c r="F982" s="1" t="str">
        <f t="shared" si="30"/>
        <v>November</v>
      </c>
      <c r="G982" t="s">
        <v>11</v>
      </c>
      <c r="H982" t="s">
        <v>9</v>
      </c>
      <c r="I982" t="s">
        <v>3</v>
      </c>
      <c r="J982" t="str">
        <f t="shared" si="31"/>
        <v>Error: Should be None</v>
      </c>
      <c r="K982">
        <v>10</v>
      </c>
      <c r="L982" s="2">
        <v>260.20999999999998</v>
      </c>
      <c r="M982" t="s">
        <v>8</v>
      </c>
    </row>
    <row r="983" spans="1:13" x14ac:dyDescent="0.35">
      <c r="A983">
        <v>982</v>
      </c>
      <c r="B983">
        <v>22</v>
      </c>
      <c r="C983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83" t="s">
        <v>5</v>
      </c>
      <c r="E983" s="1">
        <v>45309</v>
      </c>
      <c r="F983" s="1" t="str">
        <f t="shared" si="30"/>
        <v>January</v>
      </c>
      <c r="G983" t="s">
        <v>6</v>
      </c>
      <c r="H983" t="s">
        <v>9</v>
      </c>
      <c r="I983" t="s">
        <v>3</v>
      </c>
      <c r="J983" t="str">
        <f t="shared" si="31"/>
        <v>Error: Should be None</v>
      </c>
      <c r="K983">
        <v>8</v>
      </c>
      <c r="L983" s="2">
        <v>236.84</v>
      </c>
      <c r="M983" t="s">
        <v>4</v>
      </c>
    </row>
    <row r="984" spans="1:13" x14ac:dyDescent="0.35">
      <c r="A984">
        <v>983</v>
      </c>
      <c r="B984">
        <v>38</v>
      </c>
      <c r="C984" t="str">
        <f>IF(Hospital[[#This Row],[Age]]&lt;=12,"Child",
IF(Hospital[[#This Row],[Age]]&lt;=19,"Teen",
IF(Hospital[[#This Row],[Age]]&lt;=35,"Young Adult",
IF(Hospital[[#This Row],[Age]]&lt;=59,"Adult",
"Senior"))))</f>
        <v>Adult</v>
      </c>
      <c r="D984" t="s">
        <v>5</v>
      </c>
      <c r="E984" s="1">
        <v>45402</v>
      </c>
      <c r="F984" s="1" t="str">
        <f t="shared" si="30"/>
        <v>April</v>
      </c>
      <c r="G984" t="s">
        <v>11</v>
      </c>
      <c r="H984" t="s">
        <v>9</v>
      </c>
      <c r="I984" t="s">
        <v>3</v>
      </c>
      <c r="J984" t="str">
        <f t="shared" si="31"/>
        <v>Error: Should be None</v>
      </c>
      <c r="K984">
        <v>0</v>
      </c>
      <c r="L984" s="2">
        <v>468.08</v>
      </c>
      <c r="M984" t="s">
        <v>10</v>
      </c>
    </row>
    <row r="985" spans="1:13" x14ac:dyDescent="0.35">
      <c r="A985">
        <v>984</v>
      </c>
      <c r="B985">
        <v>33</v>
      </c>
      <c r="C985" t="str">
        <f>IF(Hospital[[#This Row],[Age]]&lt;=12,"Child",
IF(Hospital[[#This Row],[Age]]&lt;=19,"Teen",
IF(Hospital[[#This Row],[Age]]&lt;=35,"Young Adult",
IF(Hospital[[#This Row],[Age]]&lt;=59,"Adult",
"Senior"))))</f>
        <v>Young Adult</v>
      </c>
      <c r="D985" t="s">
        <v>0</v>
      </c>
      <c r="E985" s="1">
        <v>45206</v>
      </c>
      <c r="F985" s="1" t="str">
        <f t="shared" si="30"/>
        <v>October</v>
      </c>
      <c r="G985" t="s">
        <v>19</v>
      </c>
      <c r="H985" t="s">
        <v>9</v>
      </c>
      <c r="I985" t="s">
        <v>3</v>
      </c>
      <c r="J985" t="str">
        <f t="shared" si="31"/>
        <v>Error: Should be None</v>
      </c>
      <c r="K985">
        <v>10</v>
      </c>
      <c r="L985" s="2">
        <v>122.12</v>
      </c>
      <c r="M985" t="s">
        <v>16</v>
      </c>
    </row>
    <row r="986" spans="1:13" x14ac:dyDescent="0.35">
      <c r="A986">
        <v>985</v>
      </c>
      <c r="B986">
        <v>69</v>
      </c>
      <c r="C986" t="str">
        <f>IF(Hospital[[#This Row],[Age]]&lt;=12,"Child",
IF(Hospital[[#This Row],[Age]]&lt;=19,"Teen",
IF(Hospital[[#This Row],[Age]]&lt;=35,"Young Adult",
IF(Hospital[[#This Row],[Age]]&lt;=59,"Adult",
"Senior"))))</f>
        <v>Senior</v>
      </c>
      <c r="D986" t="s">
        <v>5</v>
      </c>
      <c r="E986" s="1">
        <v>44973</v>
      </c>
      <c r="F986" s="1" t="str">
        <f t="shared" si="30"/>
        <v>February</v>
      </c>
      <c r="G986" t="s">
        <v>19</v>
      </c>
      <c r="H986" t="s">
        <v>17</v>
      </c>
      <c r="I986" t="s">
        <v>15</v>
      </c>
      <c r="J986" t="str">
        <f t="shared" si="31"/>
        <v>Error: Should be None</v>
      </c>
      <c r="K986">
        <v>6</v>
      </c>
      <c r="L986" s="2">
        <v>355.25</v>
      </c>
      <c r="M986" t="s">
        <v>8</v>
      </c>
    </row>
    <row r="987" spans="1:13" x14ac:dyDescent="0.35">
      <c r="A987">
        <v>986</v>
      </c>
      <c r="B987">
        <v>56</v>
      </c>
      <c r="C987" t="str">
        <f>IF(Hospital[[#This Row],[Age]]&lt;=12,"Child",
IF(Hospital[[#This Row],[Age]]&lt;=19,"Teen",
IF(Hospital[[#This Row],[Age]]&lt;=35,"Young Adult",
IF(Hospital[[#This Row],[Age]]&lt;=59,"Adult",
"Senior"))))</f>
        <v>Adult</v>
      </c>
      <c r="D987" t="s">
        <v>5</v>
      </c>
      <c r="E987" s="1">
        <v>45496</v>
      </c>
      <c r="F987" s="1" t="str">
        <f t="shared" si="30"/>
        <v>July</v>
      </c>
      <c r="G987" t="s">
        <v>19</v>
      </c>
      <c r="H987" t="s">
        <v>14</v>
      </c>
      <c r="I987" t="s">
        <v>18</v>
      </c>
      <c r="J987" t="str">
        <f t="shared" si="31"/>
        <v>Error: Should be None</v>
      </c>
      <c r="K987">
        <v>10</v>
      </c>
      <c r="L987" s="2">
        <v>145.44999999999999</v>
      </c>
      <c r="M987" t="s">
        <v>10</v>
      </c>
    </row>
    <row r="988" spans="1:13" x14ac:dyDescent="0.35">
      <c r="A988">
        <v>987</v>
      </c>
      <c r="B988">
        <v>85</v>
      </c>
      <c r="C988" t="str">
        <f>IF(Hospital[[#This Row],[Age]]&lt;=12,"Child",
IF(Hospital[[#This Row],[Age]]&lt;=19,"Teen",
IF(Hospital[[#This Row],[Age]]&lt;=35,"Young Adult",
IF(Hospital[[#This Row],[Age]]&lt;=59,"Adult",
"Senior"))))</f>
        <v>Senior</v>
      </c>
      <c r="D988" t="s">
        <v>0</v>
      </c>
      <c r="E988" s="1">
        <v>45206</v>
      </c>
      <c r="F988" s="1" t="str">
        <f t="shared" si="30"/>
        <v>October</v>
      </c>
      <c r="G988" t="s">
        <v>19</v>
      </c>
      <c r="H988" t="s">
        <v>17</v>
      </c>
      <c r="I988" t="s">
        <v>13</v>
      </c>
      <c r="J988" t="str">
        <f t="shared" si="31"/>
        <v>Error: Should be None</v>
      </c>
      <c r="K988">
        <v>7</v>
      </c>
      <c r="L988" s="2">
        <v>480.32</v>
      </c>
      <c r="M988" t="s">
        <v>16</v>
      </c>
    </row>
    <row r="989" spans="1:13" x14ac:dyDescent="0.35">
      <c r="A989">
        <v>988</v>
      </c>
      <c r="B989">
        <v>18</v>
      </c>
      <c r="C989" t="str">
        <f>IF(Hospital[[#This Row],[Age]]&lt;=12,"Child",
IF(Hospital[[#This Row],[Age]]&lt;=19,"Teen",
IF(Hospital[[#This Row],[Age]]&lt;=35,"Young Adult",
IF(Hospital[[#This Row],[Age]]&lt;=59,"Adult",
"Senior"))))</f>
        <v>Teen</v>
      </c>
      <c r="D989" t="s">
        <v>5</v>
      </c>
      <c r="E989" s="1">
        <v>44943</v>
      </c>
      <c r="F989" s="1" t="str">
        <f t="shared" si="30"/>
        <v>January</v>
      </c>
      <c r="G989" t="s">
        <v>6</v>
      </c>
      <c r="H989" t="s">
        <v>7</v>
      </c>
      <c r="I989" t="s">
        <v>3</v>
      </c>
      <c r="J989" t="str">
        <f t="shared" si="31"/>
        <v>Error: Should be None</v>
      </c>
      <c r="K989">
        <v>0</v>
      </c>
      <c r="L989" s="2">
        <v>452.69</v>
      </c>
      <c r="M989" t="s">
        <v>8</v>
      </c>
    </row>
    <row r="990" spans="1:13" x14ac:dyDescent="0.35">
      <c r="A990">
        <v>989</v>
      </c>
      <c r="B990">
        <v>63</v>
      </c>
      <c r="C990" t="str">
        <f>IF(Hospital[[#This Row],[Age]]&lt;=12,"Child",
IF(Hospital[[#This Row],[Age]]&lt;=19,"Teen",
IF(Hospital[[#This Row],[Age]]&lt;=35,"Young Adult",
IF(Hospital[[#This Row],[Age]]&lt;=59,"Adult",
"Senior"))))</f>
        <v>Senior</v>
      </c>
      <c r="D990" t="s">
        <v>0</v>
      </c>
      <c r="E990" s="1">
        <v>45350</v>
      </c>
      <c r="F990" s="1" t="str">
        <f t="shared" si="30"/>
        <v>February</v>
      </c>
      <c r="G990" t="s">
        <v>11</v>
      </c>
      <c r="H990" t="s">
        <v>9</v>
      </c>
      <c r="I990" t="s">
        <v>3</v>
      </c>
      <c r="J990" t="str">
        <f t="shared" si="31"/>
        <v>Error: Should be None</v>
      </c>
      <c r="K990">
        <v>10</v>
      </c>
      <c r="L990" s="2">
        <v>332.61</v>
      </c>
      <c r="M990" t="s">
        <v>4</v>
      </c>
    </row>
    <row r="991" spans="1:13" x14ac:dyDescent="0.35">
      <c r="A991">
        <v>990</v>
      </c>
      <c r="B991">
        <v>16</v>
      </c>
      <c r="C991" t="str">
        <f>IF(Hospital[[#This Row],[Age]]&lt;=12,"Child",
IF(Hospital[[#This Row],[Age]]&lt;=19,"Teen",
IF(Hospital[[#This Row],[Age]]&lt;=35,"Young Adult",
IF(Hospital[[#This Row],[Age]]&lt;=59,"Adult",
"Senior"))))</f>
        <v>Teen</v>
      </c>
      <c r="D991" t="s">
        <v>0</v>
      </c>
      <c r="E991" s="1">
        <v>45614</v>
      </c>
      <c r="F991" s="1" t="str">
        <f t="shared" si="30"/>
        <v>November</v>
      </c>
      <c r="G991" t="s">
        <v>6</v>
      </c>
      <c r="H991" t="s">
        <v>12</v>
      </c>
      <c r="I991" t="s">
        <v>3</v>
      </c>
      <c r="J991" t="str">
        <f t="shared" si="31"/>
        <v>Error: Should be None</v>
      </c>
      <c r="K991">
        <v>5</v>
      </c>
      <c r="L991" s="2">
        <v>205.64</v>
      </c>
      <c r="M991" t="s">
        <v>4</v>
      </c>
    </row>
    <row r="992" spans="1:13" x14ac:dyDescent="0.35">
      <c r="A992">
        <v>991</v>
      </c>
      <c r="B992">
        <v>48</v>
      </c>
      <c r="C992" t="str">
        <f>IF(Hospital[[#This Row],[Age]]&lt;=12,"Child",
IF(Hospital[[#This Row],[Age]]&lt;=19,"Teen",
IF(Hospital[[#This Row],[Age]]&lt;=35,"Young Adult",
IF(Hospital[[#This Row],[Age]]&lt;=59,"Adult",
"Senior"))))</f>
        <v>Adult</v>
      </c>
      <c r="D992" t="s">
        <v>5</v>
      </c>
      <c r="E992" s="1">
        <v>45054</v>
      </c>
      <c r="F992" s="1" t="str">
        <f t="shared" si="30"/>
        <v>May</v>
      </c>
      <c r="G992" t="s">
        <v>6</v>
      </c>
      <c r="H992" t="s">
        <v>12</v>
      </c>
      <c r="I992" t="s">
        <v>15</v>
      </c>
      <c r="J992" t="str">
        <f t="shared" si="31"/>
        <v>Error: Should be None</v>
      </c>
      <c r="K992">
        <v>3</v>
      </c>
      <c r="L992" s="2">
        <v>376.71</v>
      </c>
      <c r="M992" t="s">
        <v>16</v>
      </c>
    </row>
    <row r="993" spans="1:13" x14ac:dyDescent="0.35">
      <c r="A993">
        <v>992</v>
      </c>
      <c r="B993">
        <v>46</v>
      </c>
      <c r="C993" t="str">
        <f>IF(Hospital[[#This Row],[Age]]&lt;=12,"Child",
IF(Hospital[[#This Row],[Age]]&lt;=19,"Teen",
IF(Hospital[[#This Row],[Age]]&lt;=35,"Young Adult",
IF(Hospital[[#This Row],[Age]]&lt;=59,"Adult",
"Senior"))))</f>
        <v>Adult</v>
      </c>
      <c r="D993" t="s">
        <v>5</v>
      </c>
      <c r="E993" s="1">
        <v>45623</v>
      </c>
      <c r="F993" s="1" t="str">
        <f t="shared" si="30"/>
        <v>November</v>
      </c>
      <c r="G993" t="s">
        <v>11</v>
      </c>
      <c r="H993" t="s">
        <v>7</v>
      </c>
      <c r="I993" t="s">
        <v>3</v>
      </c>
      <c r="J993" t="str">
        <f t="shared" si="31"/>
        <v>Error: Should be None</v>
      </c>
      <c r="K993">
        <v>9</v>
      </c>
      <c r="L993" s="2">
        <v>320.11</v>
      </c>
      <c r="M993" t="s">
        <v>8</v>
      </c>
    </row>
    <row r="994" spans="1:13" x14ac:dyDescent="0.35">
      <c r="A994">
        <v>993</v>
      </c>
      <c r="B994">
        <v>47</v>
      </c>
      <c r="C994" t="str">
        <f>IF(Hospital[[#This Row],[Age]]&lt;=12,"Child",
IF(Hospital[[#This Row],[Age]]&lt;=19,"Teen",
IF(Hospital[[#This Row],[Age]]&lt;=35,"Young Adult",
IF(Hospital[[#This Row],[Age]]&lt;=59,"Adult",
"Senior"))))</f>
        <v>Adult</v>
      </c>
      <c r="D994" t="s">
        <v>5</v>
      </c>
      <c r="E994" s="1">
        <v>45166</v>
      </c>
      <c r="F994" s="1" t="str">
        <f t="shared" si="30"/>
        <v>August</v>
      </c>
      <c r="G994" t="s">
        <v>19</v>
      </c>
      <c r="H994" t="s">
        <v>12</v>
      </c>
      <c r="I994" t="s">
        <v>20</v>
      </c>
      <c r="J994" t="str">
        <f t="shared" si="31"/>
        <v>Error: Should be None</v>
      </c>
      <c r="K994">
        <v>9</v>
      </c>
      <c r="L994" s="2">
        <v>120.36</v>
      </c>
      <c r="M994" t="s">
        <v>8</v>
      </c>
    </row>
    <row r="995" spans="1:13" x14ac:dyDescent="0.35">
      <c r="A995">
        <v>994</v>
      </c>
      <c r="B995">
        <v>15</v>
      </c>
      <c r="C995" t="str">
        <f>IF(Hospital[[#This Row],[Age]]&lt;=12,"Child",
IF(Hospital[[#This Row],[Age]]&lt;=19,"Teen",
IF(Hospital[[#This Row],[Age]]&lt;=35,"Young Adult",
IF(Hospital[[#This Row],[Age]]&lt;=59,"Adult",
"Senior"))))</f>
        <v>Teen</v>
      </c>
      <c r="D995" t="s">
        <v>0</v>
      </c>
      <c r="E995" s="1">
        <v>45580</v>
      </c>
      <c r="F995" s="1" t="str">
        <f t="shared" si="30"/>
        <v>October</v>
      </c>
      <c r="G995" t="s">
        <v>6</v>
      </c>
      <c r="H995" t="s">
        <v>12</v>
      </c>
      <c r="I995" t="s">
        <v>13</v>
      </c>
      <c r="J995" t="str">
        <f t="shared" si="31"/>
        <v>Error: Should be None</v>
      </c>
      <c r="K995">
        <v>8</v>
      </c>
      <c r="L995" s="2">
        <v>113.01</v>
      </c>
      <c r="M995" t="s">
        <v>8</v>
      </c>
    </row>
    <row r="996" spans="1:13" x14ac:dyDescent="0.35">
      <c r="A996">
        <v>995</v>
      </c>
      <c r="B996">
        <v>17</v>
      </c>
      <c r="C996" t="str">
        <f>IF(Hospital[[#This Row],[Age]]&lt;=12,"Child",
IF(Hospital[[#This Row],[Age]]&lt;=19,"Teen",
IF(Hospital[[#This Row],[Age]]&lt;=35,"Young Adult",
IF(Hospital[[#This Row],[Age]]&lt;=59,"Adult",
"Senior"))))</f>
        <v>Teen</v>
      </c>
      <c r="D996" t="s">
        <v>5</v>
      </c>
      <c r="E996" s="1">
        <v>44993</v>
      </c>
      <c r="F996" s="1" t="str">
        <f t="shared" si="30"/>
        <v>March</v>
      </c>
      <c r="G996" t="s">
        <v>1</v>
      </c>
      <c r="H996" t="s">
        <v>9</v>
      </c>
      <c r="I996" t="s">
        <v>3</v>
      </c>
      <c r="J996" t="str">
        <f t="shared" si="31"/>
        <v>Error: Should be None</v>
      </c>
      <c r="K996">
        <v>4</v>
      </c>
      <c r="L996" s="2">
        <v>468.11</v>
      </c>
      <c r="M996" t="s">
        <v>8</v>
      </c>
    </row>
    <row r="997" spans="1:13" x14ac:dyDescent="0.35">
      <c r="A997">
        <v>996</v>
      </c>
      <c r="B997">
        <v>36</v>
      </c>
      <c r="C997" t="str">
        <f>IF(Hospital[[#This Row],[Age]]&lt;=12,"Child",
IF(Hospital[[#This Row],[Age]]&lt;=19,"Teen",
IF(Hospital[[#This Row],[Age]]&lt;=35,"Young Adult",
IF(Hospital[[#This Row],[Age]]&lt;=59,"Adult",
"Senior"))))</f>
        <v>Adult</v>
      </c>
      <c r="D997" t="s">
        <v>5</v>
      </c>
      <c r="E997" s="1">
        <v>45462</v>
      </c>
      <c r="F997" s="1" t="str">
        <f t="shared" si="30"/>
        <v>June</v>
      </c>
      <c r="G997" t="s">
        <v>11</v>
      </c>
      <c r="H997" t="s">
        <v>7</v>
      </c>
      <c r="I997" t="s">
        <v>3</v>
      </c>
      <c r="J997" t="str">
        <f t="shared" si="31"/>
        <v>Error: Should be None</v>
      </c>
      <c r="K997">
        <v>10</v>
      </c>
      <c r="L997" s="2">
        <v>275.81</v>
      </c>
      <c r="M997" t="s">
        <v>16</v>
      </c>
    </row>
    <row r="998" spans="1:13" x14ac:dyDescent="0.35">
      <c r="A998">
        <v>997</v>
      </c>
      <c r="B998">
        <v>59</v>
      </c>
      <c r="C998" t="str">
        <f>IF(Hospital[[#This Row],[Age]]&lt;=12,"Child",
IF(Hospital[[#This Row],[Age]]&lt;=19,"Teen",
IF(Hospital[[#This Row],[Age]]&lt;=35,"Young Adult",
IF(Hospital[[#This Row],[Age]]&lt;=59,"Adult",
"Senior"))))</f>
        <v>Adult</v>
      </c>
      <c r="D998" t="s">
        <v>5</v>
      </c>
      <c r="E998" s="1">
        <v>45624</v>
      </c>
      <c r="F998" s="1" t="str">
        <f t="shared" si="30"/>
        <v>November</v>
      </c>
      <c r="G998" t="s">
        <v>6</v>
      </c>
      <c r="H998" t="s">
        <v>9</v>
      </c>
      <c r="I998" t="s">
        <v>3</v>
      </c>
      <c r="J998" t="str">
        <f t="shared" si="31"/>
        <v>Error: Should be None</v>
      </c>
      <c r="K998">
        <v>10</v>
      </c>
      <c r="L998" s="2">
        <v>343.09</v>
      </c>
      <c r="M998" t="s">
        <v>4</v>
      </c>
    </row>
    <row r="999" spans="1:13" x14ac:dyDescent="0.35">
      <c r="A999">
        <v>998</v>
      </c>
      <c r="B999">
        <v>53</v>
      </c>
      <c r="C999" t="str">
        <f>IF(Hospital[[#This Row],[Age]]&lt;=12,"Child",
IF(Hospital[[#This Row],[Age]]&lt;=19,"Teen",
IF(Hospital[[#This Row],[Age]]&lt;=35,"Young Adult",
IF(Hospital[[#This Row],[Age]]&lt;=59,"Adult",
"Senior"))))</f>
        <v>Adult</v>
      </c>
      <c r="D999" t="s">
        <v>0</v>
      </c>
      <c r="E999" s="1">
        <v>45257</v>
      </c>
      <c r="F999" s="1" t="str">
        <f t="shared" si="30"/>
        <v>November</v>
      </c>
      <c r="G999" t="s">
        <v>11</v>
      </c>
      <c r="H999" t="s">
        <v>12</v>
      </c>
      <c r="I999" t="s">
        <v>3</v>
      </c>
      <c r="J999" t="str">
        <f t="shared" si="31"/>
        <v>Error: Should be None</v>
      </c>
      <c r="K999">
        <v>7</v>
      </c>
      <c r="L999" s="2">
        <v>257.88</v>
      </c>
      <c r="M999" t="s">
        <v>4</v>
      </c>
    </row>
    <row r="1000" spans="1:13" x14ac:dyDescent="0.35">
      <c r="A1000">
        <v>999</v>
      </c>
      <c r="B1000">
        <v>36</v>
      </c>
      <c r="C1000" t="str">
        <f>IF(Hospital[[#This Row],[Age]]&lt;=12,"Child",
IF(Hospital[[#This Row],[Age]]&lt;=19,"Teen",
IF(Hospital[[#This Row],[Age]]&lt;=35,"Young Adult",
IF(Hospital[[#This Row],[Age]]&lt;=59,"Adult",
"Senior"))))</f>
        <v>Adult</v>
      </c>
      <c r="D1000" t="s">
        <v>0</v>
      </c>
      <c r="E1000" s="1">
        <v>45156</v>
      </c>
      <c r="F1000" s="1" t="str">
        <f t="shared" si="30"/>
        <v>August</v>
      </c>
      <c r="G1000" t="s">
        <v>6</v>
      </c>
      <c r="H1000" t="s">
        <v>2</v>
      </c>
      <c r="I1000" t="s">
        <v>3</v>
      </c>
      <c r="J1000" t="str">
        <f t="shared" si="31"/>
        <v>Error: Should be None</v>
      </c>
      <c r="K1000">
        <v>5</v>
      </c>
      <c r="L1000" s="2">
        <v>22.48</v>
      </c>
      <c r="M1000" t="s">
        <v>8</v>
      </c>
    </row>
    <row r="1001" spans="1:13" x14ac:dyDescent="0.35">
      <c r="A1001">
        <v>1000</v>
      </c>
      <c r="B1001">
        <v>74</v>
      </c>
      <c r="C1001" t="str">
        <f>IF(Hospital[[#This Row],[Age]]&lt;=12,"Child",
IF(Hospital[[#This Row],[Age]]&lt;=19,"Teen",
IF(Hospital[[#This Row],[Age]]&lt;=35,"Young Adult",
IF(Hospital[[#This Row],[Age]]&lt;=59,"Adult",
"Senior"))))</f>
        <v>Senior</v>
      </c>
      <c r="D1001" t="s">
        <v>5</v>
      </c>
      <c r="E1001" s="1">
        <v>45269</v>
      </c>
      <c r="F1001" s="1" t="str">
        <f t="shared" si="30"/>
        <v>December</v>
      </c>
      <c r="G1001" t="s">
        <v>1</v>
      </c>
      <c r="H1001" t="s">
        <v>2</v>
      </c>
      <c r="I1001" t="s">
        <v>3</v>
      </c>
      <c r="J1001" t="str">
        <f t="shared" si="31"/>
        <v>Error: Should be None</v>
      </c>
      <c r="K1001">
        <v>6</v>
      </c>
      <c r="L1001" s="2">
        <v>479.73</v>
      </c>
      <c r="M100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9799-3036-4D6F-8ADF-1DD4BBB347AF}">
  <dimension ref="B1:N27"/>
  <sheetViews>
    <sheetView tabSelected="1" topLeftCell="A10" workbookViewId="0">
      <selection activeCell="D39" sqref="D39"/>
    </sheetView>
  </sheetViews>
  <sheetFormatPr defaultRowHeight="14.5" x14ac:dyDescent="0.35"/>
  <cols>
    <col min="2" max="2" width="19.453125" bestFit="1" customWidth="1"/>
    <col min="3" max="3" width="19.36328125" bestFit="1" customWidth="1"/>
    <col min="5" max="5" width="12.36328125" customWidth="1"/>
    <col min="6" max="6" width="19.36328125" bestFit="1" customWidth="1"/>
    <col min="7" max="7" width="28.6328125" customWidth="1"/>
    <col min="9" max="9" width="12.36328125" bestFit="1" customWidth="1"/>
    <col min="10" max="11" width="27" bestFit="1" customWidth="1"/>
    <col min="13" max="13" width="12.36328125" bestFit="1" customWidth="1"/>
    <col min="14" max="14" width="18.453125" bestFit="1" customWidth="1"/>
    <col min="15" max="15" width="5" bestFit="1" customWidth="1"/>
    <col min="16" max="16" width="6.08984375" bestFit="1" customWidth="1"/>
    <col min="17" max="17" width="4.90625" bestFit="1" customWidth="1"/>
    <col min="18" max="18" width="11" bestFit="1" customWidth="1"/>
    <col min="19" max="19" width="10.7265625" bestFit="1" customWidth="1"/>
  </cols>
  <sheetData>
    <row r="1" spans="2:14" x14ac:dyDescent="0.35">
      <c r="M1" s="10"/>
      <c r="N1" s="10"/>
    </row>
    <row r="2" spans="2:14" x14ac:dyDescent="0.35">
      <c r="B2" s="11" t="s">
        <v>51</v>
      </c>
      <c r="C2" s="9"/>
      <c r="F2" s="11" t="s">
        <v>48</v>
      </c>
      <c r="G2" s="9"/>
      <c r="J2" s="11" t="s">
        <v>47</v>
      </c>
      <c r="K2" s="9"/>
      <c r="M2" s="10"/>
      <c r="N2" s="10"/>
    </row>
    <row r="3" spans="2:14" x14ac:dyDescent="0.35">
      <c r="B3" s="3" t="s">
        <v>36</v>
      </c>
      <c r="C3" t="s">
        <v>52</v>
      </c>
      <c r="F3" s="3" t="s">
        <v>36</v>
      </c>
      <c r="G3" t="s">
        <v>45</v>
      </c>
      <c r="J3" s="3" t="s">
        <v>36</v>
      </c>
      <c r="K3" t="s">
        <v>46</v>
      </c>
      <c r="M3" s="10"/>
      <c r="N3" s="10"/>
    </row>
    <row r="4" spans="2:14" x14ac:dyDescent="0.35">
      <c r="B4" s="4" t="s">
        <v>37</v>
      </c>
      <c r="C4" s="5">
        <v>1</v>
      </c>
      <c r="F4" s="4" t="s">
        <v>9</v>
      </c>
      <c r="G4" s="7">
        <v>275.34913907284761</v>
      </c>
      <c r="J4" s="4" t="s">
        <v>9</v>
      </c>
      <c r="K4" s="8">
        <v>5.3311258278145699</v>
      </c>
      <c r="M4" s="10"/>
      <c r="N4" s="10"/>
    </row>
    <row r="5" spans="2:14" x14ac:dyDescent="0.35">
      <c r="B5" s="4" t="s">
        <v>38</v>
      </c>
      <c r="C5" s="5">
        <v>1</v>
      </c>
      <c r="F5" s="4" t="s">
        <v>7</v>
      </c>
      <c r="G5" s="7">
        <v>275.34192307692314</v>
      </c>
      <c r="J5" s="4" t="s">
        <v>14</v>
      </c>
      <c r="K5" s="8">
        <v>5.1329479768786124</v>
      </c>
      <c r="M5" s="10"/>
      <c r="N5" s="10"/>
    </row>
    <row r="6" spans="2:14" x14ac:dyDescent="0.35">
      <c r="F6" s="4" t="s">
        <v>2</v>
      </c>
      <c r="G6" s="7">
        <v>262.43283870967741</v>
      </c>
      <c r="J6" s="4" t="s">
        <v>2</v>
      </c>
      <c r="K6" s="8">
        <v>5.096774193548387</v>
      </c>
    </row>
    <row r="7" spans="2:14" x14ac:dyDescent="0.35">
      <c r="F7" s="4" t="s">
        <v>17</v>
      </c>
      <c r="G7" s="7">
        <v>258.90499999999997</v>
      </c>
      <c r="J7" s="4" t="s">
        <v>7</v>
      </c>
      <c r="K7" s="8">
        <v>5.0824175824175821</v>
      </c>
    </row>
    <row r="8" spans="2:14" x14ac:dyDescent="0.35">
      <c r="F8" s="4" t="s">
        <v>12</v>
      </c>
      <c r="G8" s="7">
        <v>256.03857988165663</v>
      </c>
      <c r="J8" s="4" t="s">
        <v>12</v>
      </c>
      <c r="K8" s="8">
        <v>4.9171597633136095</v>
      </c>
    </row>
    <row r="9" spans="2:14" x14ac:dyDescent="0.35">
      <c r="F9" s="4" t="s">
        <v>14</v>
      </c>
      <c r="G9" s="7">
        <v>255.56271676300591</v>
      </c>
      <c r="J9" s="4" t="s">
        <v>17</v>
      </c>
      <c r="K9" s="8">
        <v>4.8882352941176475</v>
      </c>
    </row>
    <row r="10" spans="2:14" x14ac:dyDescent="0.35">
      <c r="F10" s="4" t="s">
        <v>38</v>
      </c>
      <c r="G10" s="7">
        <v>263.86376000000018</v>
      </c>
      <c r="J10" s="4" t="s">
        <v>38</v>
      </c>
      <c r="K10">
        <v>5.07</v>
      </c>
    </row>
    <row r="19" spans="2:7" x14ac:dyDescent="0.35">
      <c r="B19" s="11" t="s">
        <v>49</v>
      </c>
      <c r="C19" s="9"/>
      <c r="F19" s="3" t="s">
        <v>26</v>
      </c>
      <c r="G19" t="s">
        <v>14</v>
      </c>
    </row>
    <row r="20" spans="2:7" x14ac:dyDescent="0.35">
      <c r="B20" s="3" t="s">
        <v>36</v>
      </c>
      <c r="C20" t="s">
        <v>50</v>
      </c>
      <c r="F20" s="11" t="s">
        <v>54</v>
      </c>
      <c r="G20" s="9"/>
    </row>
    <row r="21" spans="2:7" x14ac:dyDescent="0.35">
      <c r="B21" s="4" t="s">
        <v>7</v>
      </c>
      <c r="C21">
        <v>182</v>
      </c>
      <c r="F21" s="3" t="s">
        <v>36</v>
      </c>
      <c r="G21" t="s">
        <v>53</v>
      </c>
    </row>
    <row r="22" spans="2:7" x14ac:dyDescent="0.35">
      <c r="B22" s="4" t="s">
        <v>9</v>
      </c>
      <c r="C22">
        <v>151</v>
      </c>
      <c r="F22" s="4" t="s">
        <v>40</v>
      </c>
      <c r="G22" s="6">
        <v>0.35260115606936415</v>
      </c>
    </row>
    <row r="23" spans="2:7" x14ac:dyDescent="0.35">
      <c r="B23" s="4" t="s">
        <v>2</v>
      </c>
      <c r="C23">
        <v>155</v>
      </c>
      <c r="F23" s="4" t="s">
        <v>41</v>
      </c>
      <c r="G23" s="6">
        <v>0.13872832369942195</v>
      </c>
    </row>
    <row r="24" spans="2:7" x14ac:dyDescent="0.35">
      <c r="B24" s="4" t="s">
        <v>14</v>
      </c>
      <c r="C24">
        <v>173</v>
      </c>
      <c r="F24" s="4" t="s">
        <v>42</v>
      </c>
      <c r="G24" s="6">
        <v>0.26589595375722541</v>
      </c>
    </row>
    <row r="25" spans="2:7" x14ac:dyDescent="0.35">
      <c r="B25" s="4" t="s">
        <v>17</v>
      </c>
      <c r="C25">
        <v>170</v>
      </c>
      <c r="F25" s="4" t="s">
        <v>43</v>
      </c>
      <c r="G25" s="6">
        <v>6.9364161849710976E-2</v>
      </c>
    </row>
    <row r="26" spans="2:7" x14ac:dyDescent="0.35">
      <c r="B26" s="4" t="s">
        <v>12</v>
      </c>
      <c r="C26">
        <v>169</v>
      </c>
      <c r="F26" s="4" t="s">
        <v>44</v>
      </c>
      <c r="G26" s="6">
        <v>0.17341040462427745</v>
      </c>
    </row>
    <row r="27" spans="2:7" x14ac:dyDescent="0.35">
      <c r="B27" s="4" t="s">
        <v>38</v>
      </c>
      <c r="C27">
        <v>1000</v>
      </c>
      <c r="F27" s="4" t="s">
        <v>38</v>
      </c>
      <c r="G27" s="6">
        <v>1</v>
      </c>
    </row>
  </sheetData>
  <mergeCells count="5">
    <mergeCell ref="B19:C19"/>
    <mergeCell ref="F2:G2"/>
    <mergeCell ref="F20:G20"/>
    <mergeCell ref="J2:K2"/>
    <mergeCell ref="B2:C2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hospital_patient_dataset</vt:lpstr>
      <vt:lpstr>Sheet1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Oyindamola Ipinlaye</cp:lastModifiedBy>
  <dcterms:created xsi:type="dcterms:W3CDTF">2026-03-08T01:49:48Z</dcterms:created>
  <dcterms:modified xsi:type="dcterms:W3CDTF">2026-04-06T13:01:11Z</dcterms:modified>
</cp:coreProperties>
</file>